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Java\TinyFastSimulator-Java\images\"/>
    </mc:Choice>
  </mc:AlternateContent>
  <xr:revisionPtr revIDLastSave="0" documentId="13_ncr:1_{1943F21E-855D-4BDA-AFB5-354C68FC4C52}" xr6:coauthVersionLast="36" xr6:coauthVersionMax="47" xr10:uidLastSave="{00000000-0000-0000-0000-000000000000}"/>
  <bookViews>
    <workbookView xWindow="-105" yWindow="-105" windowWidth="38625" windowHeight="21105" xr2:uid="{3E83E213-35F5-4AFB-85C3-B72A97507C01}"/>
  </bookViews>
  <sheets>
    <sheet name="J21-fix-G1" sheetId="1" r:id="rId1"/>
    <sheet name="J21-dyn-G1" sheetId="2" r:id="rId2"/>
    <sheet name="J21-dyn-eps" sheetId="3" r:id="rId3"/>
    <sheet name="J24-fix-G1" sheetId="4" r:id="rId4"/>
    <sheet name="J24-dyn-G1" sheetId="5" r:id="rId5"/>
    <sheet name="J24-dyn-eps" sheetId="6" r:id="rId6"/>
    <sheet name="J25-NUC-fix-G1" sheetId="7" r:id="rId7"/>
    <sheet name="J25-NUC-dyn-G1" sheetId="8" r:id="rId8"/>
    <sheet name="J25-NUC-dyn-eps" sheetId="9" r:id="rId9"/>
    <sheet name="J25-NUC-dyn-GraalNative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1" l="1"/>
  <c r="B28" i="11"/>
  <c r="H28" i="11" s="1"/>
  <c r="K28" i="11" s="1"/>
  <c r="H27" i="11"/>
  <c r="K27" i="11" s="1"/>
  <c r="G27" i="11"/>
  <c r="J27" i="11" s="1"/>
  <c r="F27" i="11"/>
  <c r="O27" i="11" s="1"/>
  <c r="B27" i="11"/>
  <c r="H26" i="11"/>
  <c r="K26" i="11" s="1"/>
  <c r="G26" i="11"/>
  <c r="J26" i="11" s="1"/>
  <c r="B26" i="11"/>
  <c r="F26" i="11" s="1"/>
  <c r="H25" i="11"/>
  <c r="K25" i="11" s="1"/>
  <c r="G25" i="11"/>
  <c r="J25" i="11" s="1"/>
  <c r="F25" i="11"/>
  <c r="O25" i="11" s="1"/>
  <c r="B25" i="11"/>
  <c r="G24" i="11"/>
  <c r="J24" i="11" s="1"/>
  <c r="B24" i="11"/>
  <c r="H24" i="11" s="1"/>
  <c r="K24" i="11" s="1"/>
  <c r="B23" i="11"/>
  <c r="H23" i="11" s="1"/>
  <c r="K23" i="11" s="1"/>
  <c r="K22" i="11"/>
  <c r="H22" i="11"/>
  <c r="G22" i="11"/>
  <c r="J22" i="11" s="1"/>
  <c r="F22" i="11"/>
  <c r="I22" i="11" s="1"/>
  <c r="B22" i="11"/>
  <c r="G21" i="11"/>
  <c r="J21" i="11" s="1"/>
  <c r="B21" i="11"/>
  <c r="H21" i="11" s="1"/>
  <c r="K21" i="11" s="1"/>
  <c r="H20" i="11"/>
  <c r="K20" i="11" s="1"/>
  <c r="F20" i="11"/>
  <c r="I20" i="11" s="1"/>
  <c r="B20" i="11"/>
  <c r="G20" i="11" s="1"/>
  <c r="G19" i="11"/>
  <c r="J19" i="11" s="1"/>
  <c r="F19" i="11"/>
  <c r="I19" i="11" s="1"/>
  <c r="B19" i="11"/>
  <c r="H19" i="11" s="1"/>
  <c r="H18" i="11"/>
  <c r="K18" i="11" s="1"/>
  <c r="G18" i="11"/>
  <c r="J18" i="11" s="1"/>
  <c r="B18" i="11"/>
  <c r="F18" i="11" s="1"/>
  <c r="B17" i="11"/>
  <c r="H17" i="11" s="1"/>
  <c r="K17" i="11" s="1"/>
  <c r="B16" i="11"/>
  <c r="F16" i="11" s="1"/>
  <c r="H15" i="11"/>
  <c r="K15" i="11" s="1"/>
  <c r="G15" i="11"/>
  <c r="J15" i="11" s="1"/>
  <c r="F15" i="11"/>
  <c r="O15" i="11" s="1"/>
  <c r="B15" i="11"/>
  <c r="H14" i="11"/>
  <c r="K14" i="11" s="1"/>
  <c r="G14" i="11"/>
  <c r="J14" i="11" s="1"/>
  <c r="B14" i="11"/>
  <c r="F14" i="11" s="1"/>
  <c r="H13" i="11"/>
  <c r="K13" i="11" s="1"/>
  <c r="F13" i="11"/>
  <c r="I13" i="11" s="1"/>
  <c r="B13" i="11"/>
  <c r="G13" i="11" s="1"/>
  <c r="J13" i="11" s="1"/>
  <c r="G12" i="11"/>
  <c r="J12" i="11" s="1"/>
  <c r="B12" i="11"/>
  <c r="H12" i="11" s="1"/>
  <c r="K12" i="11" s="1"/>
  <c r="B11" i="11"/>
  <c r="H11" i="11" s="1"/>
  <c r="K11" i="11" s="1"/>
  <c r="K10" i="11"/>
  <c r="H10" i="11"/>
  <c r="G10" i="11"/>
  <c r="J10" i="11" s="1"/>
  <c r="F10" i="11"/>
  <c r="I10" i="11" s="1"/>
  <c r="B10" i="11"/>
  <c r="H9" i="11"/>
  <c r="K9" i="11" s="1"/>
  <c r="G9" i="11"/>
  <c r="F9" i="11"/>
  <c r="L9" i="11" s="1"/>
  <c r="L20" i="11" s="1"/>
  <c r="O9" i="11" l="1"/>
  <c r="I9" i="11"/>
  <c r="P9" i="11" s="1"/>
  <c r="J9" i="11"/>
  <c r="P10" i="11"/>
  <c r="P22" i="11"/>
  <c r="I25" i="11"/>
  <c r="P25" i="11" s="1"/>
  <c r="O26" i="11"/>
  <c r="I26" i="11"/>
  <c r="P26" i="11" s="1"/>
  <c r="P20" i="11"/>
  <c r="O14" i="11"/>
  <c r="I14" i="11"/>
  <c r="P14" i="11" s="1"/>
  <c r="I16" i="11"/>
  <c r="O19" i="11"/>
  <c r="K19" i="11"/>
  <c r="P19" i="11" s="1"/>
  <c r="O13" i="11"/>
  <c r="J20" i="11"/>
  <c r="O20" i="11"/>
  <c r="M20" i="11"/>
  <c r="R20" i="11" s="1"/>
  <c r="Q20" i="11"/>
  <c r="O18" i="11"/>
  <c r="I18" i="11"/>
  <c r="P18" i="11" s="1"/>
  <c r="P13" i="11"/>
  <c r="O28" i="11"/>
  <c r="L10" i="11"/>
  <c r="L22" i="11"/>
  <c r="L11" i="11"/>
  <c r="G16" i="11"/>
  <c r="J16" i="11" s="1"/>
  <c r="F17" i="11"/>
  <c r="G28" i="11"/>
  <c r="J28" i="11" s="1"/>
  <c r="O10" i="11"/>
  <c r="L12" i="11"/>
  <c r="I15" i="11"/>
  <c r="P15" i="11" s="1"/>
  <c r="H16" i="11"/>
  <c r="K16" i="11" s="1"/>
  <c r="G17" i="11"/>
  <c r="J17" i="11" s="1"/>
  <c r="O22" i="11"/>
  <c r="I27" i="11"/>
  <c r="P27" i="11" s="1"/>
  <c r="Q9" i="11"/>
  <c r="L13" i="11"/>
  <c r="I28" i="11"/>
  <c r="M9" i="11"/>
  <c r="R9" i="11" s="1"/>
  <c r="L14" i="11"/>
  <c r="L15" i="11"/>
  <c r="F21" i="11"/>
  <c r="L21" i="11"/>
  <c r="L16" i="11"/>
  <c r="F11" i="11"/>
  <c r="L17" i="11"/>
  <c r="F23" i="11"/>
  <c r="G11" i="11"/>
  <c r="J11" i="11" s="1"/>
  <c r="F12" i="11"/>
  <c r="L18" i="11"/>
  <c r="G23" i="11"/>
  <c r="J23" i="11" s="1"/>
  <c r="F24" i="11"/>
  <c r="L19" i="11"/>
  <c r="G28" i="9"/>
  <c r="J28" i="9" s="1"/>
  <c r="F28" i="9"/>
  <c r="B28" i="9"/>
  <c r="H28" i="9" s="1"/>
  <c r="K28" i="9" s="1"/>
  <c r="B27" i="9"/>
  <c r="F27" i="9" s="1"/>
  <c r="I27" i="9" s="1"/>
  <c r="B26" i="9"/>
  <c r="G26" i="9" s="1"/>
  <c r="J26" i="9" s="1"/>
  <c r="B25" i="9"/>
  <c r="H25" i="9" s="1"/>
  <c r="K25" i="9" s="1"/>
  <c r="B24" i="9"/>
  <c r="H24" i="9" s="1"/>
  <c r="K24" i="9" s="1"/>
  <c r="B23" i="9"/>
  <c r="H23" i="9" s="1"/>
  <c r="K23" i="9" s="1"/>
  <c r="B22" i="9"/>
  <c r="B21" i="9"/>
  <c r="B20" i="9"/>
  <c r="H20" i="9" s="1"/>
  <c r="K20" i="9" s="1"/>
  <c r="B19" i="9"/>
  <c r="H19" i="9" s="1"/>
  <c r="K19" i="9" s="1"/>
  <c r="B18" i="9"/>
  <c r="G18" i="9" s="1"/>
  <c r="J18" i="9" s="1"/>
  <c r="B17" i="9"/>
  <c r="B16" i="9"/>
  <c r="F16" i="9" s="1"/>
  <c r="B15" i="9"/>
  <c r="H15" i="9" s="1"/>
  <c r="K15" i="9" s="1"/>
  <c r="H14" i="9"/>
  <c r="K14" i="9" s="1"/>
  <c r="B14" i="9"/>
  <c r="G14" i="9" s="1"/>
  <c r="J14" i="9" s="1"/>
  <c r="B13" i="9"/>
  <c r="H13" i="9" s="1"/>
  <c r="K13" i="9" s="1"/>
  <c r="B12" i="9"/>
  <c r="H12" i="9" s="1"/>
  <c r="K12" i="9" s="1"/>
  <c r="B11" i="9"/>
  <c r="B10" i="9"/>
  <c r="H9" i="9"/>
  <c r="K9" i="9" s="1"/>
  <c r="G9" i="9"/>
  <c r="J9" i="9" s="1"/>
  <c r="F9" i="9"/>
  <c r="G10" i="8"/>
  <c r="J10" i="8" s="1"/>
  <c r="B28" i="8"/>
  <c r="B27" i="8"/>
  <c r="H27" i="8" s="1"/>
  <c r="K27" i="8" s="1"/>
  <c r="B26" i="8"/>
  <c r="H26" i="8" s="1"/>
  <c r="K26" i="8" s="1"/>
  <c r="B25" i="8"/>
  <c r="H25" i="8" s="1"/>
  <c r="K25" i="8" s="1"/>
  <c r="H24" i="8"/>
  <c r="K24" i="8" s="1"/>
  <c r="B24" i="8"/>
  <c r="G24" i="8" s="1"/>
  <c r="J24" i="8" s="1"/>
  <c r="B23" i="8"/>
  <c r="B22" i="8"/>
  <c r="G22" i="8" s="1"/>
  <c r="J22" i="8" s="1"/>
  <c r="H21" i="8"/>
  <c r="B21" i="8"/>
  <c r="F21" i="8" s="1"/>
  <c r="I21" i="8" s="1"/>
  <c r="H20" i="8"/>
  <c r="K20" i="8" s="1"/>
  <c r="B20" i="8"/>
  <c r="B19" i="8"/>
  <c r="H19" i="8" s="1"/>
  <c r="K19" i="8" s="1"/>
  <c r="B18" i="8"/>
  <c r="B17" i="8"/>
  <c r="B16" i="8"/>
  <c r="H16" i="8" s="1"/>
  <c r="K16" i="8" s="1"/>
  <c r="B15" i="8"/>
  <c r="B14" i="8"/>
  <c r="H14" i="8" s="1"/>
  <c r="K14" i="8" s="1"/>
  <c r="G13" i="8"/>
  <c r="J13" i="8" s="1"/>
  <c r="B13" i="8"/>
  <c r="H13" i="8" s="1"/>
  <c r="K13" i="8" s="1"/>
  <c r="B12" i="8"/>
  <c r="H12" i="8" s="1"/>
  <c r="K12" i="8" s="1"/>
  <c r="B11" i="8"/>
  <c r="H10" i="8"/>
  <c r="K10" i="8" s="1"/>
  <c r="F10" i="8"/>
  <c r="B10" i="8"/>
  <c r="H9" i="8"/>
  <c r="G9" i="8"/>
  <c r="J9" i="8" s="1"/>
  <c r="F9" i="8"/>
  <c r="I9" i="8" s="1"/>
  <c r="P28" i="11" l="1"/>
  <c r="Q11" i="11"/>
  <c r="M11" i="11"/>
  <c r="R11" i="11" s="1"/>
  <c r="O16" i="11"/>
  <c r="L28" i="11"/>
  <c r="L27" i="11"/>
  <c r="L26" i="11"/>
  <c r="Q22" i="11"/>
  <c r="L25" i="11"/>
  <c r="L24" i="11"/>
  <c r="L23" i="11"/>
  <c r="M22" i="11"/>
  <c r="R22" i="11" s="1"/>
  <c r="Q16" i="11"/>
  <c r="M16" i="11"/>
  <c r="R16" i="11" s="1"/>
  <c r="Q13" i="11"/>
  <c r="M13" i="11"/>
  <c r="R13" i="11" s="1"/>
  <c r="I23" i="11"/>
  <c r="P23" i="11" s="1"/>
  <c r="O23" i="11"/>
  <c r="Q10" i="11"/>
  <c r="M10" i="11"/>
  <c r="R10" i="11" s="1"/>
  <c r="I11" i="11"/>
  <c r="P11" i="11" s="1"/>
  <c r="O11" i="11"/>
  <c r="Q21" i="11"/>
  <c r="M21" i="11"/>
  <c r="R21" i="11" s="1"/>
  <c r="M18" i="11"/>
  <c r="R18" i="11" s="1"/>
  <c r="Q18" i="11"/>
  <c r="M17" i="11"/>
  <c r="R17" i="11" s="1"/>
  <c r="Q17" i="11"/>
  <c r="I21" i="11"/>
  <c r="P21" i="11" s="1"/>
  <c r="O21" i="11"/>
  <c r="Q12" i="11"/>
  <c r="M12" i="11"/>
  <c r="R12" i="11" s="1"/>
  <c r="P16" i="11"/>
  <c r="M19" i="11"/>
  <c r="R19" i="11" s="1"/>
  <c r="Q19" i="11"/>
  <c r="Q15" i="11"/>
  <c r="M15" i="11"/>
  <c r="R15" i="11" s="1"/>
  <c r="I12" i="11"/>
  <c r="P12" i="11" s="1"/>
  <c r="O12" i="11"/>
  <c r="O24" i="11"/>
  <c r="I24" i="11"/>
  <c r="P24" i="11" s="1"/>
  <c r="Q14" i="11"/>
  <c r="M14" i="11"/>
  <c r="R14" i="11" s="1"/>
  <c r="O17" i="11"/>
  <c r="I17" i="11"/>
  <c r="P17" i="11" s="1"/>
  <c r="O9" i="9"/>
  <c r="G16" i="9"/>
  <c r="J16" i="9" s="1"/>
  <c r="H16" i="9"/>
  <c r="K16" i="9" s="1"/>
  <c r="H22" i="8"/>
  <c r="K22" i="8" s="1"/>
  <c r="F22" i="8"/>
  <c r="G15" i="9"/>
  <c r="J15" i="9" s="1"/>
  <c r="H18" i="9"/>
  <c r="K18" i="9" s="1"/>
  <c r="G21" i="8"/>
  <c r="J21" i="8" s="1"/>
  <c r="F20" i="9"/>
  <c r="I20" i="9" s="1"/>
  <c r="G20" i="9"/>
  <c r="J20" i="9" s="1"/>
  <c r="H26" i="9"/>
  <c r="K26" i="9" s="1"/>
  <c r="G27" i="9"/>
  <c r="J27" i="9" s="1"/>
  <c r="H27" i="9"/>
  <c r="K27" i="9" s="1"/>
  <c r="F15" i="9"/>
  <c r="I15" i="9" s="1"/>
  <c r="P15" i="9" s="1"/>
  <c r="O28" i="9"/>
  <c r="O16" i="9"/>
  <c r="P20" i="9"/>
  <c r="O20" i="9"/>
  <c r="H22" i="9"/>
  <c r="K22" i="9" s="1"/>
  <c r="G22" i="9"/>
  <c r="J22" i="9" s="1"/>
  <c r="F22" i="9"/>
  <c r="H17" i="9"/>
  <c r="K17" i="9" s="1"/>
  <c r="G17" i="9"/>
  <c r="J17" i="9" s="1"/>
  <c r="F17" i="9"/>
  <c r="H11" i="9"/>
  <c r="K11" i="9" s="1"/>
  <c r="G11" i="9"/>
  <c r="J11" i="9" s="1"/>
  <c r="F11" i="9"/>
  <c r="F19" i="9"/>
  <c r="H10" i="9"/>
  <c r="K10" i="9" s="1"/>
  <c r="G10" i="9"/>
  <c r="J10" i="9" s="1"/>
  <c r="G19" i="9"/>
  <c r="J19" i="9" s="1"/>
  <c r="H21" i="9"/>
  <c r="K21" i="9" s="1"/>
  <c r="G21" i="9"/>
  <c r="J21" i="9" s="1"/>
  <c r="F10" i="9"/>
  <c r="F21" i="9"/>
  <c r="L9" i="9"/>
  <c r="I9" i="9"/>
  <c r="P9" i="9" s="1"/>
  <c r="F18" i="9"/>
  <c r="I16" i="9"/>
  <c r="P16" i="9" s="1"/>
  <c r="I28" i="9"/>
  <c r="P28" i="9" s="1"/>
  <c r="O15" i="9"/>
  <c r="O27" i="9"/>
  <c r="F23" i="9"/>
  <c r="F12" i="9"/>
  <c r="G23" i="9"/>
  <c r="J23" i="9" s="1"/>
  <c r="F24" i="9"/>
  <c r="G12" i="9"/>
  <c r="J12" i="9" s="1"/>
  <c r="F13" i="9"/>
  <c r="G24" i="9"/>
  <c r="J24" i="9" s="1"/>
  <c r="F25" i="9"/>
  <c r="G13" i="9"/>
  <c r="J13" i="9" s="1"/>
  <c r="F14" i="9"/>
  <c r="G25" i="9"/>
  <c r="J25" i="9" s="1"/>
  <c r="F26" i="9"/>
  <c r="O22" i="8"/>
  <c r="O10" i="8"/>
  <c r="G20" i="8"/>
  <c r="J20" i="8" s="1"/>
  <c r="O9" i="8"/>
  <c r="O21" i="8"/>
  <c r="F13" i="8"/>
  <c r="O13" i="8" s="1"/>
  <c r="H11" i="8"/>
  <c r="K11" i="8" s="1"/>
  <c r="G11" i="8"/>
  <c r="J11" i="8" s="1"/>
  <c r="F11" i="8"/>
  <c r="K9" i="8"/>
  <c r="P9" i="8" s="1"/>
  <c r="L9" i="8"/>
  <c r="F12" i="8"/>
  <c r="G12" i="8"/>
  <c r="J12" i="8" s="1"/>
  <c r="H15" i="8"/>
  <c r="K15" i="8" s="1"/>
  <c r="G15" i="8"/>
  <c r="J15" i="8" s="1"/>
  <c r="F15" i="8"/>
  <c r="H23" i="8"/>
  <c r="K23" i="8" s="1"/>
  <c r="G23" i="8"/>
  <c r="J23" i="8" s="1"/>
  <c r="F23" i="8"/>
  <c r="F27" i="8"/>
  <c r="F16" i="8"/>
  <c r="G27" i="8"/>
  <c r="J27" i="8" s="1"/>
  <c r="G16" i="8"/>
  <c r="J16" i="8" s="1"/>
  <c r="K21" i="8"/>
  <c r="F24" i="8"/>
  <c r="F26" i="8"/>
  <c r="G26" i="8"/>
  <c r="J26" i="8" s="1"/>
  <c r="H18" i="8"/>
  <c r="K18" i="8" s="1"/>
  <c r="G18" i="8"/>
  <c r="J18" i="8" s="1"/>
  <c r="F18" i="8"/>
  <c r="F14" i="8"/>
  <c r="H28" i="8"/>
  <c r="K28" i="8" s="1"/>
  <c r="G28" i="8"/>
  <c r="J28" i="8" s="1"/>
  <c r="G14" i="8"/>
  <c r="J14" i="8" s="1"/>
  <c r="F25" i="8"/>
  <c r="F28" i="8"/>
  <c r="H17" i="8"/>
  <c r="K17" i="8" s="1"/>
  <c r="G17" i="8"/>
  <c r="J17" i="8" s="1"/>
  <c r="G25" i="8"/>
  <c r="J25" i="8" s="1"/>
  <c r="I10" i="8"/>
  <c r="P10" i="8" s="1"/>
  <c r="F17" i="8"/>
  <c r="I22" i="8"/>
  <c r="P22" i="8" s="1"/>
  <c r="F19" i="8"/>
  <c r="G19" i="8"/>
  <c r="J19" i="8" s="1"/>
  <c r="F20" i="8"/>
  <c r="Q23" i="11" l="1"/>
  <c r="M23" i="11"/>
  <c r="R23" i="11" s="1"/>
  <c r="Q24" i="11"/>
  <c r="M24" i="11"/>
  <c r="R24" i="11" s="1"/>
  <c r="Q25" i="11"/>
  <c r="M25" i="11"/>
  <c r="R25" i="11" s="1"/>
  <c r="Q26" i="11"/>
  <c r="M26" i="11"/>
  <c r="R26" i="11" s="1"/>
  <c r="Q27" i="11"/>
  <c r="M27" i="11"/>
  <c r="R27" i="11" s="1"/>
  <c r="Q28" i="11"/>
  <c r="M28" i="11"/>
  <c r="R28" i="11" s="1"/>
  <c r="P27" i="9"/>
  <c r="P21" i="8"/>
  <c r="O14" i="9"/>
  <c r="I14" i="9"/>
  <c r="P14" i="9" s="1"/>
  <c r="O19" i="9"/>
  <c r="I19" i="9"/>
  <c r="P19" i="9" s="1"/>
  <c r="I25" i="9"/>
  <c r="P25" i="9" s="1"/>
  <c r="O25" i="9"/>
  <c r="O18" i="9"/>
  <c r="I18" i="9"/>
  <c r="P18" i="9" s="1"/>
  <c r="I11" i="9"/>
  <c r="P11" i="9" s="1"/>
  <c r="O11" i="9"/>
  <c r="O13" i="9"/>
  <c r="I13" i="9"/>
  <c r="P13" i="9" s="1"/>
  <c r="L21" i="9"/>
  <c r="L20" i="9"/>
  <c r="L19" i="9"/>
  <c r="L18" i="9"/>
  <c r="L17" i="9"/>
  <c r="L16" i="9"/>
  <c r="L13" i="9"/>
  <c r="L10" i="9"/>
  <c r="L14" i="9"/>
  <c r="L15" i="9"/>
  <c r="L11" i="9"/>
  <c r="Q9" i="9"/>
  <c r="L12" i="9"/>
  <c r="L22" i="9"/>
  <c r="M9" i="9"/>
  <c r="R9" i="9" s="1"/>
  <c r="I21" i="9"/>
  <c r="P21" i="9" s="1"/>
  <c r="O21" i="9"/>
  <c r="I24" i="9"/>
  <c r="P24" i="9" s="1"/>
  <c r="O24" i="9"/>
  <c r="I10" i="9"/>
  <c r="P10" i="9" s="1"/>
  <c r="O10" i="9"/>
  <c r="O17" i="9"/>
  <c r="I17" i="9"/>
  <c r="P17" i="9" s="1"/>
  <c r="I12" i="9"/>
  <c r="P12" i="9" s="1"/>
  <c r="O12" i="9"/>
  <c r="I23" i="9"/>
  <c r="P23" i="9" s="1"/>
  <c r="O23" i="9"/>
  <c r="I22" i="9"/>
  <c r="P22" i="9" s="1"/>
  <c r="O22" i="9"/>
  <c r="O26" i="9"/>
  <c r="I26" i="9"/>
  <c r="P26" i="9" s="1"/>
  <c r="I13" i="8"/>
  <c r="P13" i="8" s="1"/>
  <c r="I17" i="8"/>
  <c r="P17" i="8" s="1"/>
  <c r="O17" i="8"/>
  <c r="I26" i="8"/>
  <c r="P26" i="8" s="1"/>
  <c r="O26" i="8"/>
  <c r="I15" i="8"/>
  <c r="P15" i="8" s="1"/>
  <c r="O15" i="8"/>
  <c r="O24" i="8"/>
  <c r="I24" i="8"/>
  <c r="P24" i="8" s="1"/>
  <c r="I28" i="8"/>
  <c r="P28" i="8" s="1"/>
  <c r="O28" i="8"/>
  <c r="O25" i="8"/>
  <c r="I25" i="8"/>
  <c r="P25" i="8" s="1"/>
  <c r="O12" i="8"/>
  <c r="I12" i="8"/>
  <c r="P12" i="8" s="1"/>
  <c r="O20" i="8"/>
  <c r="I20" i="8"/>
  <c r="P20" i="8" s="1"/>
  <c r="L15" i="8"/>
  <c r="L14" i="8"/>
  <c r="L13" i="8"/>
  <c r="Q9" i="8"/>
  <c r="L12" i="8"/>
  <c r="L11" i="8"/>
  <c r="L18" i="8"/>
  <c r="L19" i="8"/>
  <c r="L20" i="8"/>
  <c r="M9" i="8"/>
  <c r="R9" i="8" s="1"/>
  <c r="L21" i="8"/>
  <c r="L16" i="8"/>
  <c r="L10" i="8"/>
  <c r="L22" i="8"/>
  <c r="L17" i="8"/>
  <c r="I16" i="8"/>
  <c r="P16" i="8" s="1"/>
  <c r="O16" i="8"/>
  <c r="O11" i="8"/>
  <c r="I11" i="8"/>
  <c r="P11" i="8" s="1"/>
  <c r="O19" i="8"/>
  <c r="I19" i="8"/>
  <c r="P19" i="8" s="1"/>
  <c r="I14" i="8"/>
  <c r="P14" i="8" s="1"/>
  <c r="O14" i="8"/>
  <c r="I27" i="8"/>
  <c r="P27" i="8" s="1"/>
  <c r="O27" i="8"/>
  <c r="I18" i="8"/>
  <c r="P18" i="8" s="1"/>
  <c r="O18" i="8"/>
  <c r="O23" i="8"/>
  <c r="I23" i="8"/>
  <c r="P23" i="8" s="1"/>
  <c r="M20" i="9" l="1"/>
  <c r="R20" i="9" s="1"/>
  <c r="Q20" i="9"/>
  <c r="Q12" i="9"/>
  <c r="M12" i="9"/>
  <c r="R12" i="9" s="1"/>
  <c r="Q21" i="9"/>
  <c r="M21" i="9"/>
  <c r="R21" i="9" s="1"/>
  <c r="Q11" i="9"/>
  <c r="M11" i="9"/>
  <c r="R11" i="9" s="1"/>
  <c r="Q15" i="9"/>
  <c r="M15" i="9"/>
  <c r="R15" i="9" s="1"/>
  <c r="Q14" i="9"/>
  <c r="M14" i="9"/>
  <c r="R14" i="9" s="1"/>
  <c r="Q13" i="9"/>
  <c r="M13" i="9"/>
  <c r="R13" i="9" s="1"/>
  <c r="L28" i="9"/>
  <c r="L26" i="9"/>
  <c r="L23" i="9"/>
  <c r="L27" i="9"/>
  <c r="L24" i="9"/>
  <c r="Q22" i="9"/>
  <c r="M22" i="9"/>
  <c r="R22" i="9" s="1"/>
  <c r="L25" i="9"/>
  <c r="Q10" i="9"/>
  <c r="M10" i="9"/>
  <c r="R10" i="9" s="1"/>
  <c r="Q16" i="9"/>
  <c r="M16" i="9"/>
  <c r="R16" i="9" s="1"/>
  <c r="Q17" i="9"/>
  <c r="M17" i="9"/>
  <c r="R17" i="9" s="1"/>
  <c r="M18" i="9"/>
  <c r="R18" i="9" s="1"/>
  <c r="Q18" i="9"/>
  <c r="M19" i="9"/>
  <c r="R19" i="9" s="1"/>
  <c r="Q19" i="9"/>
  <c r="Q16" i="8"/>
  <c r="M16" i="8"/>
  <c r="R16" i="8" s="1"/>
  <c r="Q21" i="8"/>
  <c r="M21" i="8"/>
  <c r="R21" i="8" s="1"/>
  <c r="Q20" i="8"/>
  <c r="M20" i="8"/>
  <c r="R20" i="8" s="1"/>
  <c r="M19" i="8"/>
  <c r="R19" i="8" s="1"/>
  <c r="Q19" i="8"/>
  <c r="M18" i="8"/>
  <c r="R18" i="8" s="1"/>
  <c r="Q18" i="8"/>
  <c r="Q11" i="8"/>
  <c r="M11" i="8"/>
  <c r="R11" i="8" s="1"/>
  <c r="M12" i="8"/>
  <c r="R12" i="8" s="1"/>
  <c r="Q12" i="8"/>
  <c r="Q17" i="8"/>
  <c r="M17" i="8"/>
  <c r="R17" i="8" s="1"/>
  <c r="M13" i="8"/>
  <c r="R13" i="8" s="1"/>
  <c r="Q13" i="8"/>
  <c r="L27" i="8"/>
  <c r="L26" i="8"/>
  <c r="Q22" i="8"/>
  <c r="L25" i="8"/>
  <c r="L24" i="8"/>
  <c r="L23" i="8"/>
  <c r="L28" i="8"/>
  <c r="M22" i="8"/>
  <c r="R22" i="8" s="1"/>
  <c r="M14" i="8"/>
  <c r="R14" i="8" s="1"/>
  <c r="Q14" i="8"/>
  <c r="Q10" i="8"/>
  <c r="M10" i="8"/>
  <c r="R10" i="8" s="1"/>
  <c r="Q15" i="8"/>
  <c r="M15" i="8"/>
  <c r="R15" i="8" s="1"/>
  <c r="Q28" i="9" l="1"/>
  <c r="M28" i="9"/>
  <c r="R28" i="9" s="1"/>
  <c r="Q25" i="9"/>
  <c r="M25" i="9"/>
  <c r="R25" i="9" s="1"/>
  <c r="Q24" i="9"/>
  <c r="M24" i="9"/>
  <c r="R24" i="9" s="1"/>
  <c r="M27" i="9"/>
  <c r="R27" i="9" s="1"/>
  <c r="Q27" i="9"/>
  <c r="M23" i="9"/>
  <c r="R23" i="9" s="1"/>
  <c r="Q23" i="9"/>
  <c r="Q26" i="9"/>
  <c r="M26" i="9"/>
  <c r="R26" i="9" s="1"/>
  <c r="M25" i="8"/>
  <c r="R25" i="8" s="1"/>
  <c r="Q25" i="8"/>
  <c r="M26" i="8"/>
  <c r="R26" i="8" s="1"/>
  <c r="Q26" i="8"/>
  <c r="Q27" i="8"/>
  <c r="M27" i="8"/>
  <c r="R27" i="8" s="1"/>
  <c r="Q23" i="8"/>
  <c r="M23" i="8"/>
  <c r="R23" i="8" s="1"/>
  <c r="M24" i="8"/>
  <c r="R24" i="8" s="1"/>
  <c r="Q24" i="8"/>
  <c r="M28" i="8"/>
  <c r="R28" i="8" s="1"/>
  <c r="Q28" i="8"/>
  <c r="B28" i="7"/>
  <c r="H28" i="7" s="1"/>
  <c r="K28" i="7" s="1"/>
  <c r="B27" i="7"/>
  <c r="F27" i="7" s="1"/>
  <c r="I27" i="7" s="1"/>
  <c r="H26" i="7"/>
  <c r="K26" i="7" s="1"/>
  <c r="F26" i="7"/>
  <c r="B26" i="7"/>
  <c r="G26" i="7" s="1"/>
  <c r="J26" i="7" s="1"/>
  <c r="B25" i="7"/>
  <c r="H25" i="7" s="1"/>
  <c r="K25" i="7" s="1"/>
  <c r="B24" i="7"/>
  <c r="H24" i="7" s="1"/>
  <c r="K24" i="7" s="1"/>
  <c r="B23" i="7"/>
  <c r="B22" i="7"/>
  <c r="H22" i="7" s="1"/>
  <c r="K22" i="7" s="1"/>
  <c r="F21" i="7"/>
  <c r="B21" i="7"/>
  <c r="H21" i="7" s="1"/>
  <c r="K21" i="7" s="1"/>
  <c r="B20" i="7"/>
  <c r="G20" i="7" s="1"/>
  <c r="J20" i="7" s="1"/>
  <c r="B19" i="7"/>
  <c r="H19" i="7" s="1"/>
  <c r="K19" i="7" s="1"/>
  <c r="B18" i="7"/>
  <c r="F18" i="7" s="1"/>
  <c r="I18" i="7" s="1"/>
  <c r="B17" i="7"/>
  <c r="G17" i="7" s="1"/>
  <c r="J17" i="7" s="1"/>
  <c r="B16" i="7"/>
  <c r="H16" i="7" s="1"/>
  <c r="K16" i="7" s="1"/>
  <c r="B15" i="7"/>
  <c r="B14" i="7"/>
  <c r="G14" i="7" s="1"/>
  <c r="J14" i="7" s="1"/>
  <c r="G13" i="7"/>
  <c r="J13" i="7" s="1"/>
  <c r="F13" i="7"/>
  <c r="I13" i="7" s="1"/>
  <c r="B13" i="7"/>
  <c r="H13" i="7" s="1"/>
  <c r="K13" i="7" s="1"/>
  <c r="B12" i="7"/>
  <c r="F12" i="7" s="1"/>
  <c r="B11" i="7"/>
  <c r="H11" i="7" s="1"/>
  <c r="K11" i="7" s="1"/>
  <c r="B10" i="7"/>
  <c r="H10" i="7" s="1"/>
  <c r="K10" i="7" s="1"/>
  <c r="H9" i="7"/>
  <c r="K9" i="7" s="1"/>
  <c r="G9" i="7"/>
  <c r="J9" i="7" s="1"/>
  <c r="F9" i="7"/>
  <c r="G19" i="7" l="1"/>
  <c r="J19" i="7" s="1"/>
  <c r="F19" i="7"/>
  <c r="I19" i="7" s="1"/>
  <c r="H12" i="7"/>
  <c r="K12" i="7" s="1"/>
  <c r="F10" i="7"/>
  <c r="H20" i="7"/>
  <c r="K20" i="7" s="1"/>
  <c r="G12" i="7"/>
  <c r="J12" i="7" s="1"/>
  <c r="G10" i="7"/>
  <c r="J10" i="7" s="1"/>
  <c r="G21" i="7"/>
  <c r="J21" i="7" s="1"/>
  <c r="F16" i="7"/>
  <c r="I16" i="7" s="1"/>
  <c r="G27" i="7"/>
  <c r="J27" i="7" s="1"/>
  <c r="H27" i="7"/>
  <c r="K27" i="7" s="1"/>
  <c r="F28" i="7"/>
  <c r="I28" i="7" s="1"/>
  <c r="G18" i="7"/>
  <c r="J18" i="7" s="1"/>
  <c r="G28" i="7"/>
  <c r="J28" i="7" s="1"/>
  <c r="F20" i="7"/>
  <c r="I20" i="7" s="1"/>
  <c r="G16" i="7"/>
  <c r="J16" i="7" s="1"/>
  <c r="H18" i="7"/>
  <c r="K18" i="7" s="1"/>
  <c r="O9" i="7"/>
  <c r="P28" i="7"/>
  <c r="O26" i="7"/>
  <c r="O13" i="7"/>
  <c r="I26" i="7"/>
  <c r="P26" i="7" s="1"/>
  <c r="I21" i="7"/>
  <c r="I10" i="7"/>
  <c r="F23" i="7"/>
  <c r="H23" i="7"/>
  <c r="K23" i="7" s="1"/>
  <c r="G23" i="7"/>
  <c r="J23" i="7" s="1"/>
  <c r="P19" i="7"/>
  <c r="F24" i="7"/>
  <c r="H17" i="7"/>
  <c r="K17" i="7" s="1"/>
  <c r="F11" i="7"/>
  <c r="F15" i="7"/>
  <c r="H15" i="7"/>
  <c r="K15" i="7" s="1"/>
  <c r="G15" i="7"/>
  <c r="J15" i="7" s="1"/>
  <c r="G11" i="7"/>
  <c r="J11" i="7" s="1"/>
  <c r="P20" i="7"/>
  <c r="F25" i="7"/>
  <c r="L9" i="7"/>
  <c r="I9" i="7"/>
  <c r="P9" i="7" s="1"/>
  <c r="P13" i="7"/>
  <c r="G25" i="7"/>
  <c r="J25" i="7" s="1"/>
  <c r="F17" i="7"/>
  <c r="G24" i="7"/>
  <c r="J24" i="7" s="1"/>
  <c r="I12" i="7"/>
  <c r="F22" i="7"/>
  <c r="H14" i="7"/>
  <c r="K14" i="7" s="1"/>
  <c r="G22" i="7"/>
  <c r="J22" i="7" s="1"/>
  <c r="F14" i="7"/>
  <c r="O19" i="7"/>
  <c r="B88" i="6"/>
  <c r="H88" i="6" s="1"/>
  <c r="K88" i="6" s="1"/>
  <c r="B87" i="6"/>
  <c r="F87" i="6" s="1"/>
  <c r="B86" i="6"/>
  <c r="H86" i="6" s="1"/>
  <c r="K86" i="6" s="1"/>
  <c r="B85" i="6"/>
  <c r="H85" i="6" s="1"/>
  <c r="K85" i="6" s="1"/>
  <c r="B84" i="6"/>
  <c r="H84" i="6" s="1"/>
  <c r="K84" i="6" s="1"/>
  <c r="B83" i="6"/>
  <c r="H83" i="6" s="1"/>
  <c r="K83" i="6" s="1"/>
  <c r="B82" i="6"/>
  <c r="H82" i="6" s="1"/>
  <c r="K82" i="6" s="1"/>
  <c r="B81" i="6"/>
  <c r="H81" i="6" s="1"/>
  <c r="K81" i="6" s="1"/>
  <c r="B80" i="6"/>
  <c r="F80" i="6" s="1"/>
  <c r="B79" i="6"/>
  <c r="H79" i="6" s="1"/>
  <c r="K79" i="6" s="1"/>
  <c r="H78" i="6"/>
  <c r="K78" i="6" s="1"/>
  <c r="G78" i="6"/>
  <c r="J78" i="6" s="1"/>
  <c r="F78" i="6"/>
  <c r="B78" i="6"/>
  <c r="F77" i="6"/>
  <c r="I77" i="6" s="1"/>
  <c r="B77" i="6"/>
  <c r="G77" i="6" s="1"/>
  <c r="J77" i="6" s="1"/>
  <c r="B76" i="6"/>
  <c r="H76" i="6" s="1"/>
  <c r="K76" i="6" s="1"/>
  <c r="B75" i="6"/>
  <c r="H75" i="6" s="1"/>
  <c r="K75" i="6" s="1"/>
  <c r="B74" i="6"/>
  <c r="G74" i="6" s="1"/>
  <c r="J74" i="6" s="1"/>
  <c r="B73" i="6"/>
  <c r="H73" i="6" s="1"/>
  <c r="K73" i="6" s="1"/>
  <c r="B72" i="6"/>
  <c r="H72" i="6" s="1"/>
  <c r="K72" i="6" s="1"/>
  <c r="B71" i="6"/>
  <c r="H71" i="6" s="1"/>
  <c r="K71" i="6" s="1"/>
  <c r="B70" i="6"/>
  <c r="H70" i="6" s="1"/>
  <c r="B69" i="6"/>
  <c r="F69" i="6" s="1"/>
  <c r="B68" i="6"/>
  <c r="F68" i="6" s="1"/>
  <c r="B67" i="6"/>
  <c r="H67" i="6" s="1"/>
  <c r="K67" i="6" s="1"/>
  <c r="G66" i="6"/>
  <c r="J66" i="6" s="1"/>
  <c r="B66" i="6"/>
  <c r="F66" i="6" s="1"/>
  <c r="B65" i="6"/>
  <c r="H65" i="6" s="1"/>
  <c r="K65" i="6" s="1"/>
  <c r="B64" i="6"/>
  <c r="H64" i="6" s="1"/>
  <c r="K64" i="6" s="1"/>
  <c r="B63" i="6"/>
  <c r="F63" i="6" s="1"/>
  <c r="B62" i="6"/>
  <c r="H62" i="6" s="1"/>
  <c r="K62" i="6" s="1"/>
  <c r="B61" i="6"/>
  <c r="H61" i="6" s="1"/>
  <c r="K61" i="6" s="1"/>
  <c r="B60" i="6"/>
  <c r="H60" i="6" s="1"/>
  <c r="K60" i="6" s="1"/>
  <c r="B59" i="6"/>
  <c r="F59" i="6" s="1"/>
  <c r="B58" i="6"/>
  <c r="H58" i="6" s="1"/>
  <c r="K58" i="6" s="1"/>
  <c r="B57" i="6"/>
  <c r="H57" i="6" s="1"/>
  <c r="K57" i="6" s="1"/>
  <c r="B56" i="6"/>
  <c r="F56" i="6" s="1"/>
  <c r="F55" i="6"/>
  <c r="B55" i="6"/>
  <c r="H55" i="6" s="1"/>
  <c r="K55" i="6" s="1"/>
  <c r="B54" i="6"/>
  <c r="H54" i="6" s="1"/>
  <c r="K54" i="6" s="1"/>
  <c r="B53" i="6"/>
  <c r="G53" i="6" s="1"/>
  <c r="J53" i="6" s="1"/>
  <c r="B52" i="6"/>
  <c r="F52" i="6" s="1"/>
  <c r="I52" i="6" s="1"/>
  <c r="B51" i="6"/>
  <c r="H51" i="6" s="1"/>
  <c r="K51" i="6" s="1"/>
  <c r="B50" i="6"/>
  <c r="G50" i="6" s="1"/>
  <c r="J50" i="6" s="1"/>
  <c r="B49" i="6"/>
  <c r="H49" i="6" s="1"/>
  <c r="K49" i="6" s="1"/>
  <c r="B48" i="6"/>
  <c r="H48" i="6" s="1"/>
  <c r="K48" i="6" s="1"/>
  <c r="B47" i="6"/>
  <c r="G47" i="6" s="1"/>
  <c r="J47" i="6" s="1"/>
  <c r="B46" i="6"/>
  <c r="G46" i="6" s="1"/>
  <c r="B45" i="6"/>
  <c r="F45" i="6" s="1"/>
  <c r="B44" i="6"/>
  <c r="F44" i="6" s="1"/>
  <c r="B43" i="6"/>
  <c r="G43" i="6" s="1"/>
  <c r="J43" i="6" s="1"/>
  <c r="H42" i="6"/>
  <c r="K42" i="6" s="1"/>
  <c r="G42" i="6"/>
  <c r="J42" i="6" s="1"/>
  <c r="B42" i="6"/>
  <c r="F42" i="6" s="1"/>
  <c r="B41" i="6"/>
  <c r="H41" i="6" s="1"/>
  <c r="K41" i="6" s="1"/>
  <c r="B40" i="6"/>
  <c r="H40" i="6" s="1"/>
  <c r="K40" i="6" s="1"/>
  <c r="B39" i="6"/>
  <c r="F39" i="6" s="1"/>
  <c r="B38" i="6"/>
  <c r="H38" i="6" s="1"/>
  <c r="K38" i="6" s="1"/>
  <c r="B37" i="6"/>
  <c r="H37" i="6" s="1"/>
  <c r="K37" i="6" s="1"/>
  <c r="B36" i="6"/>
  <c r="F36" i="6" s="1"/>
  <c r="B35" i="6"/>
  <c r="F35" i="6" s="1"/>
  <c r="B34" i="6"/>
  <c r="G34" i="6" s="1"/>
  <c r="J34" i="6" s="1"/>
  <c r="B33" i="6"/>
  <c r="H33" i="6" s="1"/>
  <c r="K33" i="6" s="1"/>
  <c r="B32" i="6"/>
  <c r="G32" i="6" s="1"/>
  <c r="J32" i="6" s="1"/>
  <c r="H31" i="6"/>
  <c r="K31" i="6" s="1"/>
  <c r="G31" i="6"/>
  <c r="J31" i="6" s="1"/>
  <c r="B31" i="6"/>
  <c r="F31" i="6" s="1"/>
  <c r="O31" i="6" s="1"/>
  <c r="B30" i="6"/>
  <c r="G30" i="6" s="1"/>
  <c r="J30" i="6" s="1"/>
  <c r="H29" i="6"/>
  <c r="K29" i="6" s="1"/>
  <c r="F29" i="6"/>
  <c r="I29" i="6" s="1"/>
  <c r="B29" i="6"/>
  <c r="G29" i="6" s="1"/>
  <c r="J29" i="6" s="1"/>
  <c r="B28" i="6"/>
  <c r="H28" i="6" s="1"/>
  <c r="K28" i="6" s="1"/>
  <c r="B27" i="6"/>
  <c r="H27" i="6" s="1"/>
  <c r="K27" i="6" s="1"/>
  <c r="B26" i="6"/>
  <c r="H26" i="6" s="1"/>
  <c r="K26" i="6" s="1"/>
  <c r="B25" i="6"/>
  <c r="H25" i="6" s="1"/>
  <c r="K25" i="6" s="1"/>
  <c r="B24" i="6"/>
  <c r="H24" i="6" s="1"/>
  <c r="K24" i="6" s="1"/>
  <c r="B23" i="6"/>
  <c r="F23" i="6" s="1"/>
  <c r="B22" i="6"/>
  <c r="G22" i="6" s="1"/>
  <c r="J22" i="6" s="1"/>
  <c r="B21" i="6"/>
  <c r="H21" i="6" s="1"/>
  <c r="K21" i="6" s="1"/>
  <c r="B20" i="6"/>
  <c r="H20" i="6" s="1"/>
  <c r="K20" i="6" s="1"/>
  <c r="B19" i="6"/>
  <c r="H19" i="6" s="1"/>
  <c r="K19" i="6" s="1"/>
  <c r="G18" i="6"/>
  <c r="J18" i="6" s="1"/>
  <c r="B18" i="6"/>
  <c r="F18" i="6" s="1"/>
  <c r="B17" i="6"/>
  <c r="H17" i="6" s="1"/>
  <c r="K17" i="6" s="1"/>
  <c r="G16" i="6"/>
  <c r="J16" i="6" s="1"/>
  <c r="B16" i="6"/>
  <c r="H16" i="6" s="1"/>
  <c r="K16" i="6" s="1"/>
  <c r="B15" i="6"/>
  <c r="H15" i="6" s="1"/>
  <c r="K15" i="6" s="1"/>
  <c r="B14" i="6"/>
  <c r="H14" i="6" s="1"/>
  <c r="K14" i="6" s="1"/>
  <c r="B13" i="6"/>
  <c r="G13" i="6" s="1"/>
  <c r="J13" i="6" s="1"/>
  <c r="B12" i="6"/>
  <c r="H12" i="6" s="1"/>
  <c r="K12" i="6" s="1"/>
  <c r="B11" i="6"/>
  <c r="H11" i="6" s="1"/>
  <c r="K11" i="6" s="1"/>
  <c r="B10" i="6"/>
  <c r="G10" i="6" s="1"/>
  <c r="J10" i="6" s="1"/>
  <c r="H9" i="6"/>
  <c r="K9" i="6" s="1"/>
  <c r="G9" i="6"/>
  <c r="J9" i="6" s="1"/>
  <c r="F9" i="6"/>
  <c r="P18" i="7" l="1"/>
  <c r="P27" i="7"/>
  <c r="O21" i="7"/>
  <c r="P16" i="7"/>
  <c r="P12" i="7"/>
  <c r="P21" i="7"/>
  <c r="O12" i="7"/>
  <c r="P10" i="7"/>
  <c r="O10" i="7"/>
  <c r="G55" i="6"/>
  <c r="J55" i="6" s="1"/>
  <c r="H74" i="6"/>
  <c r="K74" i="6" s="1"/>
  <c r="G76" i="6"/>
  <c r="J76" i="6" s="1"/>
  <c r="G37" i="6"/>
  <c r="J37" i="6" s="1"/>
  <c r="G26" i="6"/>
  <c r="J26" i="6" s="1"/>
  <c r="G52" i="6"/>
  <c r="J52" i="6" s="1"/>
  <c r="H77" i="6"/>
  <c r="K77" i="6" s="1"/>
  <c r="P77" i="6" s="1"/>
  <c r="G87" i="6"/>
  <c r="J87" i="6" s="1"/>
  <c r="G88" i="6"/>
  <c r="J88" i="6" s="1"/>
  <c r="F26" i="6"/>
  <c r="I26" i="6" s="1"/>
  <c r="H63" i="6"/>
  <c r="K63" i="6" s="1"/>
  <c r="H52" i="6"/>
  <c r="K52" i="6" s="1"/>
  <c r="P52" i="6" s="1"/>
  <c r="G64" i="6"/>
  <c r="J64" i="6" s="1"/>
  <c r="L21" i="7"/>
  <c r="L22" i="7"/>
  <c r="L20" i="7"/>
  <c r="L14" i="7"/>
  <c r="L18" i="7"/>
  <c r="L15" i="7"/>
  <c r="L19" i="7"/>
  <c r="L16" i="7"/>
  <c r="L17" i="7"/>
  <c r="L13" i="7"/>
  <c r="O78" i="6"/>
  <c r="O20" i="7"/>
  <c r="F60" i="6"/>
  <c r="I60" i="6" s="1"/>
  <c r="F53" i="6"/>
  <c r="I53" i="6" s="1"/>
  <c r="O27" i="7"/>
  <c r="F70" i="6"/>
  <c r="I70" i="6" s="1"/>
  <c r="G70" i="6"/>
  <c r="J70" i="6" s="1"/>
  <c r="H66" i="6"/>
  <c r="K66" i="6" s="1"/>
  <c r="O18" i="7"/>
  <c r="H13" i="6"/>
  <c r="K13" i="6" s="1"/>
  <c r="G39" i="6"/>
  <c r="J39" i="6" s="1"/>
  <c r="H53" i="6"/>
  <c r="K53" i="6" s="1"/>
  <c r="F28" i="6"/>
  <c r="O28" i="6" s="1"/>
  <c r="F15" i="6"/>
  <c r="I15" i="6" s="1"/>
  <c r="G28" i="6"/>
  <c r="J28" i="6" s="1"/>
  <c r="G40" i="6"/>
  <c r="J40" i="6" s="1"/>
  <c r="F54" i="6"/>
  <c r="I54" i="6" s="1"/>
  <c r="P54" i="6" s="1"/>
  <c r="F79" i="6"/>
  <c r="I79" i="6" s="1"/>
  <c r="P79" i="6" s="1"/>
  <c r="F30" i="6"/>
  <c r="I30" i="6" s="1"/>
  <c r="H18" i="6"/>
  <c r="K18" i="6" s="1"/>
  <c r="F46" i="6"/>
  <c r="I46" i="6" s="1"/>
  <c r="H87" i="6"/>
  <c r="K87" i="6" s="1"/>
  <c r="F76" i="6"/>
  <c r="I76" i="6" s="1"/>
  <c r="P76" i="6" s="1"/>
  <c r="H50" i="6"/>
  <c r="K50" i="6" s="1"/>
  <c r="G15" i="6"/>
  <c r="J15" i="6" s="1"/>
  <c r="P15" i="6" s="1"/>
  <c r="G54" i="6"/>
  <c r="J54" i="6" s="1"/>
  <c r="G79" i="6"/>
  <c r="J79" i="6" s="1"/>
  <c r="O28" i="7"/>
  <c r="G63" i="6"/>
  <c r="J63" i="6" s="1"/>
  <c r="H39" i="6"/>
  <c r="K39" i="6" s="1"/>
  <c r="O16" i="7"/>
  <c r="L12" i="7"/>
  <c r="L11" i="7"/>
  <c r="M9" i="7"/>
  <c r="R9" i="7" s="1"/>
  <c r="L10" i="7"/>
  <c r="Q9" i="7"/>
  <c r="I24" i="7"/>
  <c r="P24" i="7" s="1"/>
  <c r="O24" i="7"/>
  <c r="O23" i="7"/>
  <c r="I23" i="7"/>
  <c r="P23" i="7" s="1"/>
  <c r="O17" i="7"/>
  <c r="I17" i="7"/>
  <c r="P17" i="7" s="1"/>
  <c r="O11" i="7"/>
  <c r="I11" i="7"/>
  <c r="P11" i="7" s="1"/>
  <c r="I14" i="7"/>
  <c r="P14" i="7" s="1"/>
  <c r="O14" i="7"/>
  <c r="O25" i="7"/>
  <c r="I25" i="7"/>
  <c r="P25" i="7" s="1"/>
  <c r="O22" i="7"/>
  <c r="I22" i="7"/>
  <c r="P22" i="7" s="1"/>
  <c r="I15" i="7"/>
  <c r="P15" i="7" s="1"/>
  <c r="O15" i="7"/>
  <c r="O55" i="6"/>
  <c r="L9" i="6"/>
  <c r="L23" i="6" s="1"/>
  <c r="O9" i="6"/>
  <c r="L33" i="6"/>
  <c r="L20" i="6"/>
  <c r="L27" i="6"/>
  <c r="L31" i="6"/>
  <c r="L18" i="6"/>
  <c r="L29" i="6"/>
  <c r="L16" i="6"/>
  <c r="L14" i="6"/>
  <c r="L40" i="6"/>
  <c r="L15" i="6"/>
  <c r="L38" i="6"/>
  <c r="L25" i="6"/>
  <c r="O66" i="6"/>
  <c r="I66" i="6"/>
  <c r="P66" i="6" s="1"/>
  <c r="O42" i="6"/>
  <c r="I42" i="6"/>
  <c r="P42" i="6" s="1"/>
  <c r="J46" i="6"/>
  <c r="I80" i="6"/>
  <c r="P53" i="6"/>
  <c r="I18" i="6"/>
  <c r="K70" i="6"/>
  <c r="P70" i="6" s="1"/>
  <c r="O70" i="6"/>
  <c r="I68" i="6"/>
  <c r="I45" i="6"/>
  <c r="I56" i="6"/>
  <c r="O29" i="6"/>
  <c r="I44" i="6"/>
  <c r="I23" i="6"/>
  <c r="I35" i="6"/>
  <c r="I36" i="6"/>
  <c r="I63" i="6"/>
  <c r="I69" i="6"/>
  <c r="P26" i="6"/>
  <c r="P29" i="6"/>
  <c r="I59" i="6"/>
  <c r="I87" i="6"/>
  <c r="I39" i="6"/>
  <c r="P39" i="6" s="1"/>
  <c r="O39" i="6"/>
  <c r="O53" i="6"/>
  <c r="O77" i="6"/>
  <c r="F17" i="6"/>
  <c r="F41" i="6"/>
  <c r="F65" i="6"/>
  <c r="F32" i="6"/>
  <c r="G80" i="6"/>
  <c r="J80" i="6" s="1"/>
  <c r="G65" i="6"/>
  <c r="J65" i="6" s="1"/>
  <c r="G45" i="6"/>
  <c r="J45" i="6" s="1"/>
  <c r="H56" i="6"/>
  <c r="K56" i="6" s="1"/>
  <c r="F58" i="6"/>
  <c r="G69" i="6"/>
  <c r="J69" i="6" s="1"/>
  <c r="H80" i="6"/>
  <c r="K80" i="6" s="1"/>
  <c r="F82" i="6"/>
  <c r="H43" i="6"/>
  <c r="K43" i="6" s="1"/>
  <c r="H45" i="6"/>
  <c r="K45" i="6" s="1"/>
  <c r="F47" i="6"/>
  <c r="G58" i="6"/>
  <c r="J58" i="6" s="1"/>
  <c r="H69" i="6"/>
  <c r="K69" i="6" s="1"/>
  <c r="F71" i="6"/>
  <c r="G82" i="6"/>
  <c r="J82" i="6" s="1"/>
  <c r="H30" i="6"/>
  <c r="K30" i="6" s="1"/>
  <c r="G23" i="6"/>
  <c r="J23" i="6" s="1"/>
  <c r="H34" i="6"/>
  <c r="K34" i="6" s="1"/>
  <c r="O52" i="6"/>
  <c r="G71" i="6"/>
  <c r="J71" i="6" s="1"/>
  <c r="F84" i="6"/>
  <c r="G41" i="6"/>
  <c r="J41" i="6" s="1"/>
  <c r="I28" i="6"/>
  <c r="P28" i="6" s="1"/>
  <c r="G67" i="6"/>
  <c r="J67" i="6" s="1"/>
  <c r="F21" i="6"/>
  <c r="F34" i="6"/>
  <c r="F12" i="6"/>
  <c r="G12" i="6"/>
  <c r="J12" i="6" s="1"/>
  <c r="H23" i="6"/>
  <c r="K23" i="6" s="1"/>
  <c r="G36" i="6"/>
  <c r="J36" i="6" s="1"/>
  <c r="H47" i="6"/>
  <c r="K47" i="6" s="1"/>
  <c r="F49" i="6"/>
  <c r="G60" i="6"/>
  <c r="F73" i="6"/>
  <c r="G84" i="6"/>
  <c r="J84" i="6" s="1"/>
  <c r="I78" i="6"/>
  <c r="P78" i="6" s="1"/>
  <c r="F10" i="6"/>
  <c r="H10" i="6"/>
  <c r="K10" i="6" s="1"/>
  <c r="F25" i="6"/>
  <c r="F14" i="6"/>
  <c r="G25" i="6"/>
  <c r="J25" i="6" s="1"/>
  <c r="H36" i="6"/>
  <c r="K36" i="6" s="1"/>
  <c r="F38" i="6"/>
  <c r="G49" i="6"/>
  <c r="J49" i="6" s="1"/>
  <c r="O54" i="6"/>
  <c r="F62" i="6"/>
  <c r="G73" i="6"/>
  <c r="J73" i="6" s="1"/>
  <c r="F86" i="6"/>
  <c r="F67" i="6"/>
  <c r="G19" i="6"/>
  <c r="J19" i="6" s="1"/>
  <c r="G21" i="6"/>
  <c r="J21" i="6" s="1"/>
  <c r="H32" i="6"/>
  <c r="K32" i="6" s="1"/>
  <c r="G14" i="6"/>
  <c r="J14" i="6" s="1"/>
  <c r="F27" i="6"/>
  <c r="G38" i="6"/>
  <c r="J38" i="6" s="1"/>
  <c r="F51" i="6"/>
  <c r="G62" i="6"/>
  <c r="J62" i="6" s="1"/>
  <c r="F75" i="6"/>
  <c r="G86" i="6"/>
  <c r="J86" i="6" s="1"/>
  <c r="G56" i="6"/>
  <c r="J56" i="6" s="1"/>
  <c r="F16" i="6"/>
  <c r="G27" i="6"/>
  <c r="J27" i="6" s="1"/>
  <c r="F40" i="6"/>
  <c r="G51" i="6"/>
  <c r="J51" i="6" s="1"/>
  <c r="F64" i="6"/>
  <c r="G75" i="6"/>
  <c r="J75" i="6" s="1"/>
  <c r="F88" i="6"/>
  <c r="F19" i="6"/>
  <c r="F43" i="6"/>
  <c r="G17" i="6"/>
  <c r="J17" i="6" s="1"/>
  <c r="F33" i="6"/>
  <c r="G44" i="6"/>
  <c r="J44" i="6" s="1"/>
  <c r="F57" i="6"/>
  <c r="G68" i="6"/>
  <c r="J68" i="6" s="1"/>
  <c r="F81" i="6"/>
  <c r="H44" i="6"/>
  <c r="K44" i="6" s="1"/>
  <c r="I55" i="6"/>
  <c r="P55" i="6" s="1"/>
  <c r="G57" i="6"/>
  <c r="J57" i="6" s="1"/>
  <c r="H68" i="6"/>
  <c r="K68" i="6" s="1"/>
  <c r="G81" i="6"/>
  <c r="J81" i="6" s="1"/>
  <c r="F83" i="6"/>
  <c r="I31" i="6"/>
  <c r="P31" i="6" s="1"/>
  <c r="I9" i="6"/>
  <c r="P9" i="6" s="1"/>
  <c r="G11" i="6"/>
  <c r="J11" i="6" s="1"/>
  <c r="H22" i="6"/>
  <c r="K22" i="6" s="1"/>
  <c r="F24" i="6"/>
  <c r="G35" i="6"/>
  <c r="J35" i="6" s="1"/>
  <c r="H46" i="6"/>
  <c r="K46" i="6" s="1"/>
  <c r="F48" i="6"/>
  <c r="G59" i="6"/>
  <c r="J59" i="6" s="1"/>
  <c r="F72" i="6"/>
  <c r="G83" i="6"/>
  <c r="J83" i="6" s="1"/>
  <c r="G33" i="6"/>
  <c r="J33" i="6" s="1"/>
  <c r="F11" i="6"/>
  <c r="F13" i="6"/>
  <c r="G24" i="6"/>
  <c r="J24" i="6" s="1"/>
  <c r="H35" i="6"/>
  <c r="K35" i="6" s="1"/>
  <c r="F37" i="6"/>
  <c r="G48" i="6"/>
  <c r="J48" i="6" s="1"/>
  <c r="H59" i="6"/>
  <c r="K59" i="6" s="1"/>
  <c r="F61" i="6"/>
  <c r="G72" i="6"/>
  <c r="J72" i="6" s="1"/>
  <c r="F85" i="6"/>
  <c r="F20" i="6"/>
  <c r="F22" i="6"/>
  <c r="F50" i="6"/>
  <c r="G61" i="6"/>
  <c r="J61" i="6" s="1"/>
  <c r="F74" i="6"/>
  <c r="G85" i="6"/>
  <c r="J85" i="6" s="1"/>
  <c r="G20" i="6"/>
  <c r="J20" i="6" s="1"/>
  <c r="L24" i="7" l="1"/>
  <c r="L23" i="7"/>
  <c r="L27" i="7"/>
  <c r="L26" i="7"/>
  <c r="L25" i="7"/>
  <c r="L28" i="7"/>
  <c r="Q28" i="7" s="1"/>
  <c r="O15" i="6"/>
  <c r="M9" i="6"/>
  <c r="R9" i="6" s="1"/>
  <c r="L35" i="6"/>
  <c r="P30" i="6"/>
  <c r="P87" i="6"/>
  <c r="L37" i="6"/>
  <c r="Q37" i="6" s="1"/>
  <c r="O18" i="6"/>
  <c r="O79" i="6"/>
  <c r="L11" i="6"/>
  <c r="M11" i="6" s="1"/>
  <c r="R11" i="6" s="1"/>
  <c r="O26" i="6"/>
  <c r="P63" i="6"/>
  <c r="L24" i="6"/>
  <c r="Q24" i="6" s="1"/>
  <c r="L12" i="6"/>
  <c r="Q12" i="6" s="1"/>
  <c r="O87" i="6"/>
  <c r="L36" i="6"/>
  <c r="Q36" i="6" s="1"/>
  <c r="O76" i="6"/>
  <c r="P18" i="6"/>
  <c r="O63" i="6"/>
  <c r="Q9" i="6"/>
  <c r="L13" i="6"/>
  <c r="M13" i="7"/>
  <c r="R13" i="7" s="1"/>
  <c r="Q13" i="7"/>
  <c r="Q27" i="7"/>
  <c r="M27" i="7"/>
  <c r="R27" i="7" s="1"/>
  <c r="Q17" i="7"/>
  <c r="M17" i="7"/>
  <c r="R17" i="7" s="1"/>
  <c r="M15" i="7"/>
  <c r="R15" i="7" s="1"/>
  <c r="Q15" i="7"/>
  <c r="Q14" i="7"/>
  <c r="M14" i="7"/>
  <c r="R14" i="7" s="1"/>
  <c r="Q25" i="7"/>
  <c r="M25" i="7"/>
  <c r="R25" i="7" s="1"/>
  <c r="Q16" i="7"/>
  <c r="M16" i="7"/>
  <c r="R16" i="7" s="1"/>
  <c r="Q18" i="7"/>
  <c r="M18" i="7"/>
  <c r="R18" i="7" s="1"/>
  <c r="Q26" i="7"/>
  <c r="M26" i="7"/>
  <c r="R26" i="7" s="1"/>
  <c r="Q19" i="7"/>
  <c r="M19" i="7"/>
  <c r="R19" i="7" s="1"/>
  <c r="M11" i="7"/>
  <c r="R11" i="7" s="1"/>
  <c r="Q11" i="7"/>
  <c r="Q12" i="7"/>
  <c r="M12" i="7"/>
  <c r="R12" i="7" s="1"/>
  <c r="M22" i="7"/>
  <c r="R22" i="7" s="1"/>
  <c r="Q22" i="7"/>
  <c r="Q10" i="7"/>
  <c r="M10" i="7"/>
  <c r="R10" i="7" s="1"/>
  <c r="M24" i="7"/>
  <c r="R24" i="7" s="1"/>
  <c r="Q24" i="7"/>
  <c r="M20" i="7"/>
  <c r="R20" i="7" s="1"/>
  <c r="Q20" i="7"/>
  <c r="M21" i="7"/>
  <c r="R21" i="7" s="1"/>
  <c r="Q21" i="7"/>
  <c r="M23" i="7"/>
  <c r="R23" i="7" s="1"/>
  <c r="Q23" i="7"/>
  <c r="O46" i="6"/>
  <c r="O69" i="6"/>
  <c r="P46" i="6"/>
  <c r="P69" i="6"/>
  <c r="O30" i="6"/>
  <c r="L22" i="6"/>
  <c r="Q22" i="6" s="1"/>
  <c r="L28" i="6"/>
  <c r="M28" i="6" s="1"/>
  <c r="R28" i="6" s="1"/>
  <c r="L30" i="6"/>
  <c r="Q30" i="6" s="1"/>
  <c r="L26" i="6"/>
  <c r="L39" i="6"/>
  <c r="M39" i="6" s="1"/>
  <c r="R39" i="6" s="1"/>
  <c r="L17" i="6"/>
  <c r="M17" i="6" s="1"/>
  <c r="R17" i="6" s="1"/>
  <c r="L21" i="6"/>
  <c r="Q21" i="6" s="1"/>
  <c r="L10" i="6"/>
  <c r="M10" i="6" s="1"/>
  <c r="R10" i="6" s="1"/>
  <c r="L32" i="6"/>
  <c r="Q32" i="6" s="1"/>
  <c r="L34" i="6"/>
  <c r="O68" i="6"/>
  <c r="L19" i="6"/>
  <c r="Q19" i="6" s="1"/>
  <c r="O49" i="6"/>
  <c r="I49" i="6"/>
  <c r="P49" i="6" s="1"/>
  <c r="Q34" i="6"/>
  <c r="M34" i="6"/>
  <c r="R34" i="6" s="1"/>
  <c r="O32" i="6"/>
  <c r="I32" i="6"/>
  <c r="P32" i="6" s="1"/>
  <c r="I57" i="6"/>
  <c r="P57" i="6" s="1"/>
  <c r="O57" i="6"/>
  <c r="O80" i="6"/>
  <c r="O36" i="6"/>
  <c r="Q38" i="6"/>
  <c r="M38" i="6"/>
  <c r="R38" i="6" s="1"/>
  <c r="I61" i="6"/>
  <c r="P61" i="6" s="1"/>
  <c r="O61" i="6"/>
  <c r="Q17" i="6"/>
  <c r="O43" i="6"/>
  <c r="I43" i="6"/>
  <c r="P43" i="6" s="1"/>
  <c r="I19" i="6"/>
  <c r="P19" i="6" s="1"/>
  <c r="O19" i="6"/>
  <c r="Q25" i="6"/>
  <c r="M25" i="6"/>
  <c r="R25" i="6" s="1"/>
  <c r="Q15" i="6"/>
  <c r="M15" i="6"/>
  <c r="R15" i="6" s="1"/>
  <c r="I81" i="6"/>
  <c r="P81" i="6" s="1"/>
  <c r="O81" i="6"/>
  <c r="O44" i="6"/>
  <c r="L57" i="6"/>
  <c r="L50" i="6"/>
  <c r="L72" i="6"/>
  <c r="L68" i="6"/>
  <c r="L44" i="6"/>
  <c r="Q40" i="6"/>
  <c r="L53" i="6"/>
  <c r="L55" i="6"/>
  <c r="M40" i="6"/>
  <c r="R40" i="6" s="1"/>
  <c r="L66" i="6"/>
  <c r="L42" i="6"/>
  <c r="L49" i="6"/>
  <c r="L64" i="6"/>
  <c r="L62" i="6"/>
  <c r="L51" i="6"/>
  <c r="L60" i="6"/>
  <c r="L63" i="6"/>
  <c r="L70" i="6"/>
  <c r="L71" i="6"/>
  <c r="L47" i="6"/>
  <c r="L58" i="6"/>
  <c r="L69" i="6"/>
  <c r="L45" i="6"/>
  <c r="L48" i="6"/>
  <c r="L56" i="6"/>
  <c r="L46" i="6"/>
  <c r="L67" i="6"/>
  <c r="L43" i="6"/>
  <c r="L54" i="6"/>
  <c r="L65" i="6"/>
  <c r="L41" i="6"/>
  <c r="L52" i="6"/>
  <c r="L61" i="6"/>
  <c r="L59" i="6"/>
  <c r="O27" i="6"/>
  <c r="I27" i="6"/>
  <c r="P27" i="6" s="1"/>
  <c r="Q10" i="6"/>
  <c r="P44" i="6"/>
  <c r="M14" i="6"/>
  <c r="R14" i="6" s="1"/>
  <c r="Q14" i="6"/>
  <c r="I37" i="6"/>
  <c r="P37" i="6" s="1"/>
  <c r="O37" i="6"/>
  <c r="P36" i="6"/>
  <c r="Q35" i="6"/>
  <c r="M35" i="6"/>
  <c r="R35" i="6" s="1"/>
  <c r="Q16" i="6"/>
  <c r="M16" i="6"/>
  <c r="R16" i="6" s="1"/>
  <c r="O67" i="6"/>
  <c r="I67" i="6"/>
  <c r="P67" i="6" s="1"/>
  <c r="O25" i="6"/>
  <c r="I25" i="6"/>
  <c r="P25" i="6" s="1"/>
  <c r="Q29" i="6"/>
  <c r="M29" i="6"/>
  <c r="R29" i="6" s="1"/>
  <c r="M18" i="6"/>
  <c r="R18" i="6" s="1"/>
  <c r="Q18" i="6"/>
  <c r="P80" i="6"/>
  <c r="Q13" i="6"/>
  <c r="M13" i="6"/>
  <c r="R13" i="6" s="1"/>
  <c r="I65" i="6"/>
  <c r="P65" i="6" s="1"/>
  <c r="O65" i="6"/>
  <c r="O38" i="6"/>
  <c r="I38" i="6"/>
  <c r="P38" i="6" s="1"/>
  <c r="I24" i="6"/>
  <c r="P24" i="6" s="1"/>
  <c r="O24" i="6"/>
  <c r="P56" i="6"/>
  <c r="M31" i="6"/>
  <c r="R31" i="6" s="1"/>
  <c r="Q31" i="6"/>
  <c r="Q23" i="6"/>
  <c r="M23" i="6"/>
  <c r="R23" i="6" s="1"/>
  <c r="O86" i="6"/>
  <c r="I86" i="6"/>
  <c r="P86" i="6" s="1"/>
  <c r="P23" i="6"/>
  <c r="I17" i="6"/>
  <c r="P17" i="6" s="1"/>
  <c r="O17" i="6"/>
  <c r="O40" i="6"/>
  <c r="I40" i="6"/>
  <c r="P40" i="6" s="1"/>
  <c r="O56" i="6"/>
  <c r="Q27" i="6"/>
  <c r="M27" i="6"/>
  <c r="R27" i="6" s="1"/>
  <c r="O82" i="6"/>
  <c r="I82" i="6"/>
  <c r="P82" i="6" s="1"/>
  <c r="O12" i="6"/>
  <c r="I12" i="6"/>
  <c r="P12" i="6" s="1"/>
  <c r="O34" i="6"/>
  <c r="I34" i="6"/>
  <c r="P34" i="6" s="1"/>
  <c r="O13" i="6"/>
  <c r="I13" i="6"/>
  <c r="P13" i="6" s="1"/>
  <c r="O62" i="6"/>
  <c r="I62" i="6"/>
  <c r="P62" i="6" s="1"/>
  <c r="I72" i="6"/>
  <c r="P72" i="6" s="1"/>
  <c r="O72" i="6"/>
  <c r="O88" i="6"/>
  <c r="I88" i="6"/>
  <c r="P88" i="6" s="1"/>
  <c r="O74" i="6"/>
  <c r="I74" i="6"/>
  <c r="P74" i="6" s="1"/>
  <c r="I22" i="6"/>
  <c r="P22" i="6" s="1"/>
  <c r="O22" i="6"/>
  <c r="I83" i="6"/>
  <c r="P83" i="6" s="1"/>
  <c r="O83" i="6"/>
  <c r="O75" i="6"/>
  <c r="I75" i="6"/>
  <c r="P75" i="6" s="1"/>
  <c r="P45" i="6"/>
  <c r="M20" i="6"/>
  <c r="R20" i="6" s="1"/>
  <c r="Q20" i="6"/>
  <c r="I11" i="6"/>
  <c r="P11" i="6" s="1"/>
  <c r="O11" i="6"/>
  <c r="O35" i="6"/>
  <c r="O84" i="6"/>
  <c r="I84" i="6"/>
  <c r="P84" i="6" s="1"/>
  <c r="I48" i="6"/>
  <c r="P48" i="6" s="1"/>
  <c r="O48" i="6"/>
  <c r="I41" i="6"/>
  <c r="P41" i="6" s="1"/>
  <c r="O41" i="6"/>
  <c r="O14" i="6"/>
  <c r="I14" i="6"/>
  <c r="P14" i="6" s="1"/>
  <c r="I16" i="6"/>
  <c r="P16" i="6" s="1"/>
  <c r="O16" i="6"/>
  <c r="M37" i="6"/>
  <c r="R37" i="6" s="1"/>
  <c r="O71" i="6"/>
  <c r="I71" i="6"/>
  <c r="P71" i="6" s="1"/>
  <c r="I20" i="6"/>
  <c r="P20" i="6" s="1"/>
  <c r="O20" i="6"/>
  <c r="O73" i="6"/>
  <c r="I73" i="6"/>
  <c r="P73" i="6" s="1"/>
  <c r="O59" i="6"/>
  <c r="O45" i="6"/>
  <c r="M26" i="6"/>
  <c r="R26" i="6" s="1"/>
  <c r="Q26" i="6"/>
  <c r="Q33" i="6"/>
  <c r="M33" i="6"/>
  <c r="R33" i="6" s="1"/>
  <c r="O58" i="6"/>
  <c r="I58" i="6"/>
  <c r="P58" i="6" s="1"/>
  <c r="O21" i="6"/>
  <c r="I21" i="6"/>
  <c r="P21" i="6" s="1"/>
  <c r="I33" i="6"/>
  <c r="P33" i="6" s="1"/>
  <c r="O33" i="6"/>
  <c r="P35" i="6"/>
  <c r="O23" i="6"/>
  <c r="O64" i="6"/>
  <c r="I64" i="6"/>
  <c r="P64" i="6" s="1"/>
  <c r="O10" i="6"/>
  <c r="I10" i="6"/>
  <c r="P10" i="6" s="1"/>
  <c r="O50" i="6"/>
  <c r="I50" i="6"/>
  <c r="P50" i="6" s="1"/>
  <c r="I85" i="6"/>
  <c r="P85" i="6" s="1"/>
  <c r="O85" i="6"/>
  <c r="O51" i="6"/>
  <c r="I51" i="6"/>
  <c r="P51" i="6" s="1"/>
  <c r="O60" i="6"/>
  <c r="J60" i="6"/>
  <c r="P60" i="6" s="1"/>
  <c r="O47" i="6"/>
  <c r="I47" i="6"/>
  <c r="P47" i="6" s="1"/>
  <c r="P59" i="6"/>
  <c r="P68" i="6"/>
  <c r="M36" i="6" l="1"/>
  <c r="R36" i="6" s="1"/>
  <c r="Q28" i="6"/>
  <c r="M24" i="6"/>
  <c r="R24" i="6" s="1"/>
  <c r="Q11" i="6"/>
  <c r="M22" i="6"/>
  <c r="R22" i="6" s="1"/>
  <c r="M12" i="6"/>
  <c r="R12" i="6" s="1"/>
  <c r="M30" i="6"/>
  <c r="R30" i="6" s="1"/>
  <c r="M28" i="7"/>
  <c r="R28" i="7" s="1"/>
  <c r="Q39" i="6"/>
  <c r="M19" i="6"/>
  <c r="R19" i="6" s="1"/>
  <c r="M32" i="6"/>
  <c r="R32" i="6" s="1"/>
  <c r="M21" i="6"/>
  <c r="R21" i="6" s="1"/>
  <c r="M42" i="6"/>
  <c r="R42" i="6" s="1"/>
  <c r="Q42" i="6"/>
  <c r="Q62" i="6"/>
  <c r="M62" i="6"/>
  <c r="R62" i="6" s="1"/>
  <c r="M66" i="6"/>
  <c r="R66" i="6" s="1"/>
  <c r="Q66" i="6"/>
  <c r="M55" i="6"/>
  <c r="R55" i="6" s="1"/>
  <c r="Q55" i="6"/>
  <c r="Q41" i="6"/>
  <c r="M41" i="6"/>
  <c r="R41" i="6" s="1"/>
  <c r="M68" i="6"/>
  <c r="R68" i="6" s="1"/>
  <c r="Q68" i="6"/>
  <c r="Q46" i="6"/>
  <c r="M46" i="6"/>
  <c r="R46" i="6" s="1"/>
  <c r="Q63" i="6"/>
  <c r="M63" i="6"/>
  <c r="R63" i="6" s="1"/>
  <c r="Q54" i="6"/>
  <c r="M54" i="6"/>
  <c r="R54" i="6" s="1"/>
  <c r="Q67" i="6"/>
  <c r="M67" i="6"/>
  <c r="R67" i="6" s="1"/>
  <c r="M48" i="6"/>
  <c r="R48" i="6" s="1"/>
  <c r="Q48" i="6"/>
  <c r="Q53" i="6"/>
  <c r="M53" i="6"/>
  <c r="R53" i="6" s="1"/>
  <c r="Q45" i="6"/>
  <c r="M45" i="6"/>
  <c r="R45" i="6" s="1"/>
  <c r="Q60" i="6"/>
  <c r="M60" i="6"/>
  <c r="R60" i="6" s="1"/>
  <c r="Q49" i="6"/>
  <c r="M49" i="6"/>
  <c r="R49" i="6" s="1"/>
  <c r="Q52" i="6"/>
  <c r="M52" i="6"/>
  <c r="R52" i="6" s="1"/>
  <c r="M44" i="6"/>
  <c r="R44" i="6" s="1"/>
  <c r="Q44" i="6"/>
  <c r="L81" i="6"/>
  <c r="L86" i="6"/>
  <c r="L79" i="6"/>
  <c r="L77" i="6"/>
  <c r="L88" i="6"/>
  <c r="L75" i="6"/>
  <c r="L73" i="6"/>
  <c r="L84" i="6"/>
  <c r="L87" i="6"/>
  <c r="L82" i="6"/>
  <c r="L74" i="6"/>
  <c r="L80" i="6"/>
  <c r="L78" i="6"/>
  <c r="L76" i="6"/>
  <c r="Q72" i="6"/>
  <c r="L85" i="6"/>
  <c r="M72" i="6"/>
  <c r="R72" i="6" s="1"/>
  <c r="L83" i="6"/>
  <c r="Q69" i="6"/>
  <c r="M69" i="6"/>
  <c r="R69" i="6" s="1"/>
  <c r="Q64" i="6"/>
  <c r="M64" i="6"/>
  <c r="R64" i="6" s="1"/>
  <c r="M61" i="6"/>
  <c r="R61" i="6" s="1"/>
  <c r="Q61" i="6"/>
  <c r="M50" i="6"/>
  <c r="R50" i="6" s="1"/>
  <c r="Q50" i="6"/>
  <c r="Q56" i="6"/>
  <c r="M56" i="6"/>
  <c r="R56" i="6" s="1"/>
  <c r="Q58" i="6"/>
  <c r="M58" i="6"/>
  <c r="R58" i="6" s="1"/>
  <c r="Q51" i="6"/>
  <c r="M51" i="6"/>
  <c r="R51" i="6" s="1"/>
  <c r="M59" i="6"/>
  <c r="R59" i="6" s="1"/>
  <c r="Q59" i="6"/>
  <c r="Q65" i="6"/>
  <c r="M65" i="6"/>
  <c r="R65" i="6" s="1"/>
  <c r="Q43" i="6"/>
  <c r="M43" i="6"/>
  <c r="R43" i="6" s="1"/>
  <c r="Q47" i="6"/>
  <c r="M47" i="6"/>
  <c r="R47" i="6" s="1"/>
  <c r="Q71" i="6"/>
  <c r="M71" i="6"/>
  <c r="R71" i="6" s="1"/>
  <c r="Q57" i="6"/>
  <c r="M57" i="6"/>
  <c r="R57" i="6" s="1"/>
  <c r="Q70" i="6"/>
  <c r="M70" i="6"/>
  <c r="R70" i="6" s="1"/>
  <c r="Q87" i="6" l="1"/>
  <c r="M87" i="6"/>
  <c r="R87" i="6" s="1"/>
  <c r="Q73" i="6"/>
  <c r="M73" i="6"/>
  <c r="R73" i="6" s="1"/>
  <c r="Q75" i="6"/>
  <c r="M75" i="6"/>
  <c r="R75" i="6" s="1"/>
  <c r="M74" i="6"/>
  <c r="R74" i="6" s="1"/>
  <c r="Q74" i="6"/>
  <c r="Q76" i="6"/>
  <c r="M76" i="6"/>
  <c r="R76" i="6" s="1"/>
  <c r="Q77" i="6"/>
  <c r="M77" i="6"/>
  <c r="R77" i="6" s="1"/>
  <c r="Q82" i="6"/>
  <c r="M82" i="6"/>
  <c r="R82" i="6" s="1"/>
  <c r="Q88" i="6"/>
  <c r="M88" i="6"/>
  <c r="R88" i="6" s="1"/>
  <c r="M79" i="6"/>
  <c r="R79" i="6" s="1"/>
  <c r="Q79" i="6"/>
  <c r="Q78" i="6"/>
  <c r="M78" i="6"/>
  <c r="R78" i="6" s="1"/>
  <c r="M84" i="6"/>
  <c r="R84" i="6" s="1"/>
  <c r="Q84" i="6"/>
  <c r="M81" i="6"/>
  <c r="R81" i="6" s="1"/>
  <c r="Q81" i="6"/>
  <c r="Q80" i="6"/>
  <c r="M80" i="6"/>
  <c r="R80" i="6" s="1"/>
  <c r="Q86" i="6"/>
  <c r="M86" i="6"/>
  <c r="R86" i="6" s="1"/>
  <c r="M83" i="6"/>
  <c r="R83" i="6" s="1"/>
  <c r="Q83" i="6"/>
  <c r="M85" i="6"/>
  <c r="R85" i="6" s="1"/>
  <c r="Q85" i="6"/>
  <c r="B88" i="5" l="1"/>
  <c r="F88" i="5" s="1"/>
  <c r="B87" i="5"/>
  <c r="F87" i="5" s="1"/>
  <c r="B86" i="5"/>
  <c r="H86" i="5" s="1"/>
  <c r="K86" i="5" s="1"/>
  <c r="B85" i="5"/>
  <c r="H85" i="5" s="1"/>
  <c r="K85" i="5" s="1"/>
  <c r="B84" i="5"/>
  <c r="H84" i="5" s="1"/>
  <c r="K84" i="5" s="1"/>
  <c r="B83" i="5"/>
  <c r="H83" i="5" s="1"/>
  <c r="K83" i="5" s="1"/>
  <c r="B82" i="5"/>
  <c r="H82" i="5" s="1"/>
  <c r="K82" i="5" s="1"/>
  <c r="B81" i="5"/>
  <c r="H81" i="5" s="1"/>
  <c r="K81" i="5" s="1"/>
  <c r="B80" i="5"/>
  <c r="H80" i="5" s="1"/>
  <c r="K80" i="5" s="1"/>
  <c r="B79" i="5"/>
  <c r="H79" i="5" s="1"/>
  <c r="K79" i="5" s="1"/>
  <c r="B78" i="5"/>
  <c r="H78" i="5" s="1"/>
  <c r="K78" i="5" s="1"/>
  <c r="F77" i="5"/>
  <c r="B77" i="5"/>
  <c r="G77" i="5" s="1"/>
  <c r="J77" i="5" s="1"/>
  <c r="H76" i="5"/>
  <c r="K76" i="5" s="1"/>
  <c r="G76" i="5"/>
  <c r="J76" i="5" s="1"/>
  <c r="B76" i="5"/>
  <c r="F76" i="5" s="1"/>
  <c r="I76" i="5" s="1"/>
  <c r="B75" i="5"/>
  <c r="H75" i="5" s="1"/>
  <c r="K75" i="5" s="1"/>
  <c r="B74" i="5"/>
  <c r="G74" i="5" s="1"/>
  <c r="J74" i="5" s="1"/>
  <c r="B73" i="5"/>
  <c r="H73" i="5" s="1"/>
  <c r="K73" i="5" s="1"/>
  <c r="B72" i="5"/>
  <c r="H72" i="5" s="1"/>
  <c r="K72" i="5" s="1"/>
  <c r="B71" i="5"/>
  <c r="H71" i="5" s="1"/>
  <c r="K71" i="5" s="1"/>
  <c r="B70" i="5"/>
  <c r="H70" i="5" s="1"/>
  <c r="K70" i="5" s="1"/>
  <c r="B69" i="5"/>
  <c r="H69" i="5" s="1"/>
  <c r="K69" i="5" s="1"/>
  <c r="B68" i="5"/>
  <c r="H68" i="5" s="1"/>
  <c r="K68" i="5" s="1"/>
  <c r="B67" i="5"/>
  <c r="G67" i="5" s="1"/>
  <c r="J67" i="5" s="1"/>
  <c r="B66" i="5"/>
  <c r="H66" i="5" s="1"/>
  <c r="K66" i="5" s="1"/>
  <c r="B65" i="5"/>
  <c r="H65" i="5" s="1"/>
  <c r="K65" i="5" s="1"/>
  <c r="B64" i="5"/>
  <c r="F64" i="5" s="1"/>
  <c r="B63" i="5"/>
  <c r="F63" i="5" s="1"/>
  <c r="B62" i="5"/>
  <c r="H62" i="5" s="1"/>
  <c r="K62" i="5" s="1"/>
  <c r="B61" i="5"/>
  <c r="H61" i="5" s="1"/>
  <c r="K61" i="5" s="1"/>
  <c r="B60" i="5"/>
  <c r="H60" i="5" s="1"/>
  <c r="K60" i="5" s="1"/>
  <c r="B59" i="5"/>
  <c r="H59" i="5" s="1"/>
  <c r="K59" i="5" s="1"/>
  <c r="B58" i="5"/>
  <c r="H58" i="5" s="1"/>
  <c r="K58" i="5" s="1"/>
  <c r="B57" i="5"/>
  <c r="G57" i="5" s="1"/>
  <c r="J57" i="5" s="1"/>
  <c r="B56" i="5"/>
  <c r="F56" i="5" s="1"/>
  <c r="B55" i="5"/>
  <c r="H55" i="5" s="1"/>
  <c r="K55" i="5" s="1"/>
  <c r="B54" i="5"/>
  <c r="H54" i="5" s="1"/>
  <c r="K54" i="5" s="1"/>
  <c r="B53" i="5"/>
  <c r="G53" i="5" s="1"/>
  <c r="J53" i="5" s="1"/>
  <c r="F52" i="5"/>
  <c r="I52" i="5" s="1"/>
  <c r="B52" i="5"/>
  <c r="G52" i="5" s="1"/>
  <c r="J52" i="5" s="1"/>
  <c r="B51" i="5"/>
  <c r="H51" i="5" s="1"/>
  <c r="K51" i="5" s="1"/>
  <c r="B50" i="5"/>
  <c r="G50" i="5" s="1"/>
  <c r="J50" i="5" s="1"/>
  <c r="B49" i="5"/>
  <c r="H49" i="5" s="1"/>
  <c r="K49" i="5" s="1"/>
  <c r="B48" i="5"/>
  <c r="H48" i="5" s="1"/>
  <c r="K48" i="5" s="1"/>
  <c r="B47" i="5"/>
  <c r="H47" i="5" s="1"/>
  <c r="K47" i="5" s="1"/>
  <c r="B46" i="5"/>
  <c r="F46" i="5" s="1"/>
  <c r="B45" i="5"/>
  <c r="H45" i="5" s="1"/>
  <c r="K45" i="5" s="1"/>
  <c r="B44" i="5"/>
  <c r="H44" i="5" s="1"/>
  <c r="K44" i="5" s="1"/>
  <c r="B43" i="5"/>
  <c r="G43" i="5" s="1"/>
  <c r="J43" i="5" s="1"/>
  <c r="B42" i="5"/>
  <c r="F42" i="5" s="1"/>
  <c r="B41" i="5"/>
  <c r="B40" i="5"/>
  <c r="F40" i="5" s="1"/>
  <c r="B39" i="5"/>
  <c r="F39" i="5" s="1"/>
  <c r="B38" i="5"/>
  <c r="H38" i="5" s="1"/>
  <c r="K38" i="5" s="1"/>
  <c r="B37" i="5"/>
  <c r="H37" i="5" s="1"/>
  <c r="K37" i="5" s="1"/>
  <c r="B36" i="5"/>
  <c r="H36" i="5" s="1"/>
  <c r="K36" i="5" s="1"/>
  <c r="B35" i="5"/>
  <c r="H35" i="5" s="1"/>
  <c r="K35" i="5" s="1"/>
  <c r="B34" i="5"/>
  <c r="H34" i="5" s="1"/>
  <c r="K34" i="5" s="1"/>
  <c r="B33" i="5"/>
  <c r="F33" i="5" s="1"/>
  <c r="B32" i="5"/>
  <c r="F32" i="5" s="1"/>
  <c r="B31" i="5"/>
  <c r="H31" i="5" s="1"/>
  <c r="K31" i="5" s="1"/>
  <c r="B30" i="5"/>
  <c r="G30" i="5" s="1"/>
  <c r="J30" i="5" s="1"/>
  <c r="F29" i="5"/>
  <c r="B29" i="5"/>
  <c r="G29" i="5" s="1"/>
  <c r="J29" i="5" s="1"/>
  <c r="B28" i="5"/>
  <c r="G28" i="5" s="1"/>
  <c r="J28" i="5" s="1"/>
  <c r="B27" i="5"/>
  <c r="H27" i="5" s="1"/>
  <c r="K27" i="5" s="1"/>
  <c r="B26" i="5"/>
  <c r="G26" i="5" s="1"/>
  <c r="J26" i="5" s="1"/>
  <c r="B25" i="5"/>
  <c r="H25" i="5" s="1"/>
  <c r="K25" i="5" s="1"/>
  <c r="B24" i="5"/>
  <c r="F24" i="5" s="1"/>
  <c r="B23" i="5"/>
  <c r="H23" i="5" s="1"/>
  <c r="K23" i="5" s="1"/>
  <c r="B22" i="5"/>
  <c r="H22" i="5" s="1"/>
  <c r="K22" i="5" s="1"/>
  <c r="B21" i="5"/>
  <c r="G21" i="5" s="1"/>
  <c r="J21" i="5" s="1"/>
  <c r="B20" i="5"/>
  <c r="H20" i="5" s="1"/>
  <c r="K20" i="5" s="1"/>
  <c r="B19" i="5"/>
  <c r="G19" i="5" s="1"/>
  <c r="J19" i="5" s="1"/>
  <c r="B18" i="5"/>
  <c r="H18" i="5" s="1"/>
  <c r="K18" i="5" s="1"/>
  <c r="B17" i="5"/>
  <c r="F17" i="5" s="1"/>
  <c r="B16" i="5"/>
  <c r="G16" i="5" s="1"/>
  <c r="J16" i="5" s="1"/>
  <c r="B15" i="5"/>
  <c r="F15" i="5" s="1"/>
  <c r="B14" i="5"/>
  <c r="H14" i="5" s="1"/>
  <c r="K14" i="5" s="1"/>
  <c r="B13" i="5"/>
  <c r="H13" i="5" s="1"/>
  <c r="K13" i="5" s="1"/>
  <c r="B12" i="5"/>
  <c r="H12" i="5" s="1"/>
  <c r="K12" i="5" s="1"/>
  <c r="B11" i="5"/>
  <c r="G11" i="5" s="1"/>
  <c r="J11" i="5" s="1"/>
  <c r="B10" i="5"/>
  <c r="F10" i="5" s="1"/>
  <c r="H9" i="5"/>
  <c r="K9" i="5" s="1"/>
  <c r="G9" i="5"/>
  <c r="J9" i="5" s="1"/>
  <c r="F9" i="5"/>
  <c r="F18" i="5" l="1"/>
  <c r="H64" i="5"/>
  <c r="K64" i="5" s="1"/>
  <c r="H63" i="5"/>
  <c r="K63" i="5" s="1"/>
  <c r="G81" i="5"/>
  <c r="J81" i="5" s="1"/>
  <c r="G63" i="5"/>
  <c r="J63" i="5" s="1"/>
  <c r="G66" i="5"/>
  <c r="J66" i="5" s="1"/>
  <c r="H39" i="5"/>
  <c r="K39" i="5" s="1"/>
  <c r="H26" i="5"/>
  <c r="K26" i="5" s="1"/>
  <c r="H77" i="5"/>
  <c r="K77" i="5" s="1"/>
  <c r="F66" i="5"/>
  <c r="H53" i="5"/>
  <c r="K53" i="5" s="1"/>
  <c r="G18" i="5"/>
  <c r="J18" i="5" s="1"/>
  <c r="G42" i="5"/>
  <c r="J42" i="5" s="1"/>
  <c r="F79" i="5"/>
  <c r="I79" i="5" s="1"/>
  <c r="H40" i="5"/>
  <c r="K40" i="5" s="1"/>
  <c r="G78" i="5"/>
  <c r="J78" i="5" s="1"/>
  <c r="G39" i="5"/>
  <c r="J39" i="5" s="1"/>
  <c r="O29" i="5"/>
  <c r="G87" i="5"/>
  <c r="J87" i="5" s="1"/>
  <c r="G64" i="5"/>
  <c r="J64" i="5" s="1"/>
  <c r="H52" i="5"/>
  <c r="K52" i="5" s="1"/>
  <c r="P52" i="5" s="1"/>
  <c r="F67" i="5"/>
  <c r="I67" i="5" s="1"/>
  <c r="P67" i="5" s="1"/>
  <c r="F28" i="5"/>
  <c r="I28" i="5" s="1"/>
  <c r="H74" i="5"/>
  <c r="K74" i="5" s="1"/>
  <c r="H87" i="5"/>
  <c r="K87" i="5" s="1"/>
  <c r="H50" i="5"/>
  <c r="K50" i="5" s="1"/>
  <c r="G40" i="5"/>
  <c r="J40" i="5" s="1"/>
  <c r="G15" i="5"/>
  <c r="J15" i="5" s="1"/>
  <c r="H28" i="5"/>
  <c r="K28" i="5" s="1"/>
  <c r="H15" i="5"/>
  <c r="K15" i="5" s="1"/>
  <c r="H42" i="5"/>
  <c r="K42" i="5" s="1"/>
  <c r="F16" i="5"/>
  <c r="H29" i="5"/>
  <c r="K29" i="5" s="1"/>
  <c r="F48" i="5"/>
  <c r="I48" i="5" s="1"/>
  <c r="F53" i="5"/>
  <c r="O53" i="5" s="1"/>
  <c r="F54" i="5"/>
  <c r="H16" i="5"/>
  <c r="K16" i="5" s="1"/>
  <c r="I29" i="5"/>
  <c r="P29" i="5" s="1"/>
  <c r="G88" i="5"/>
  <c r="J88" i="5" s="1"/>
  <c r="H88" i="5"/>
  <c r="K88" i="5" s="1"/>
  <c r="O77" i="5"/>
  <c r="O66" i="5"/>
  <c r="L9" i="5"/>
  <c r="L29" i="5" s="1"/>
  <c r="P28" i="5"/>
  <c r="I16" i="5"/>
  <c r="P16" i="5" s="1"/>
  <c r="I53" i="5"/>
  <c r="P53" i="5" s="1"/>
  <c r="O9" i="5"/>
  <c r="I24" i="5"/>
  <c r="I40" i="5"/>
  <c r="I64" i="5"/>
  <c r="O15" i="5"/>
  <c r="I15" i="5"/>
  <c r="P15" i="5" s="1"/>
  <c r="L25" i="5"/>
  <c r="L24" i="5"/>
  <c r="L12" i="5"/>
  <c r="I10" i="5"/>
  <c r="G41" i="5"/>
  <c r="J41" i="5" s="1"/>
  <c r="H41" i="5"/>
  <c r="K41" i="5" s="1"/>
  <c r="F41" i="5"/>
  <c r="I39" i="5"/>
  <c r="P39" i="5" s="1"/>
  <c r="O39" i="5"/>
  <c r="I56" i="5"/>
  <c r="O87" i="5"/>
  <c r="I87" i="5"/>
  <c r="I17" i="5"/>
  <c r="I46" i="5"/>
  <c r="I88" i="5"/>
  <c r="I32" i="5"/>
  <c r="I33" i="5"/>
  <c r="P33" i="5" s="1"/>
  <c r="O33" i="5"/>
  <c r="O63" i="5"/>
  <c r="I63" i="5"/>
  <c r="P63" i="5" s="1"/>
  <c r="P76" i="5"/>
  <c r="F65" i="5"/>
  <c r="G65" i="5"/>
  <c r="J65" i="5" s="1"/>
  <c r="F78" i="5"/>
  <c r="F80" i="5"/>
  <c r="H19" i="5"/>
  <c r="K19" i="5" s="1"/>
  <c r="H43" i="5"/>
  <c r="K43" i="5" s="1"/>
  <c r="F45" i="5"/>
  <c r="I54" i="5"/>
  <c r="G56" i="5"/>
  <c r="J56" i="5" s="1"/>
  <c r="H67" i="5"/>
  <c r="K67" i="5" s="1"/>
  <c r="F69" i="5"/>
  <c r="G80" i="5"/>
  <c r="J80" i="5" s="1"/>
  <c r="F34" i="5"/>
  <c r="G45" i="5"/>
  <c r="J45" i="5" s="1"/>
  <c r="H56" i="5"/>
  <c r="K56" i="5" s="1"/>
  <c r="F58" i="5"/>
  <c r="G69" i="5"/>
  <c r="J69" i="5" s="1"/>
  <c r="F82" i="5"/>
  <c r="G34" i="5"/>
  <c r="J34" i="5" s="1"/>
  <c r="F47" i="5"/>
  <c r="G58" i="5"/>
  <c r="J58" i="5" s="1"/>
  <c r="F71" i="5"/>
  <c r="G82" i="5"/>
  <c r="J82" i="5" s="1"/>
  <c r="H32" i="5"/>
  <c r="K32" i="5" s="1"/>
  <c r="G10" i="5"/>
  <c r="J10" i="5" s="1"/>
  <c r="F23" i="5"/>
  <c r="G23" i="5"/>
  <c r="J23" i="5" s="1"/>
  <c r="O28" i="5"/>
  <c r="F36" i="5"/>
  <c r="G47" i="5"/>
  <c r="J47" i="5" s="1"/>
  <c r="F60" i="5"/>
  <c r="G71" i="5"/>
  <c r="J71" i="5" s="1"/>
  <c r="O76" i="5"/>
  <c r="F84" i="5"/>
  <c r="F43" i="5"/>
  <c r="F12" i="5"/>
  <c r="F25" i="5"/>
  <c r="G36" i="5"/>
  <c r="J36" i="5" s="1"/>
  <c r="F49" i="5"/>
  <c r="G60" i="5"/>
  <c r="J60" i="5" s="1"/>
  <c r="F73" i="5"/>
  <c r="G84" i="5"/>
  <c r="J84" i="5" s="1"/>
  <c r="F19" i="5"/>
  <c r="F21" i="5"/>
  <c r="H10" i="5"/>
  <c r="K10" i="5" s="1"/>
  <c r="F38" i="5"/>
  <c r="G49" i="5"/>
  <c r="J49" i="5" s="1"/>
  <c r="F62" i="5"/>
  <c r="G73" i="5"/>
  <c r="J73" i="5" s="1"/>
  <c r="F86" i="5"/>
  <c r="H21" i="5"/>
  <c r="K21" i="5" s="1"/>
  <c r="G12" i="5"/>
  <c r="J12" i="5" s="1"/>
  <c r="F14" i="5"/>
  <c r="G25" i="5"/>
  <c r="J25" i="5" s="1"/>
  <c r="G14" i="5"/>
  <c r="J14" i="5" s="1"/>
  <c r="F27" i="5"/>
  <c r="G38" i="5"/>
  <c r="J38" i="5" s="1"/>
  <c r="F51" i="5"/>
  <c r="G62" i="5"/>
  <c r="J62" i="5" s="1"/>
  <c r="F75" i="5"/>
  <c r="G86" i="5"/>
  <c r="J86" i="5" s="1"/>
  <c r="F30" i="5"/>
  <c r="H30" i="5"/>
  <c r="K30" i="5" s="1"/>
  <c r="G27" i="5"/>
  <c r="J27" i="5" s="1"/>
  <c r="G51" i="5"/>
  <c r="J51" i="5" s="1"/>
  <c r="G75" i="5"/>
  <c r="J75" i="5" s="1"/>
  <c r="G17" i="5"/>
  <c r="J17" i="5" s="1"/>
  <c r="F55" i="5"/>
  <c r="G32" i="5"/>
  <c r="J32" i="5" s="1"/>
  <c r="F44" i="5"/>
  <c r="G55" i="5"/>
  <c r="J55" i="5" s="1"/>
  <c r="F68" i="5"/>
  <c r="I77" i="5"/>
  <c r="P77" i="5" s="1"/>
  <c r="G79" i="5"/>
  <c r="J79" i="5" s="1"/>
  <c r="G44" i="5"/>
  <c r="J44" i="5" s="1"/>
  <c r="F57" i="5"/>
  <c r="I66" i="5"/>
  <c r="P66" i="5" s="1"/>
  <c r="G68" i="5"/>
  <c r="J68" i="5" s="1"/>
  <c r="F81" i="5"/>
  <c r="G31" i="5"/>
  <c r="J31" i="5" s="1"/>
  <c r="F70" i="5"/>
  <c r="H17" i="5"/>
  <c r="K17" i="5" s="1"/>
  <c r="G54" i="5"/>
  <c r="J54" i="5" s="1"/>
  <c r="G33" i="5"/>
  <c r="J33" i="5" s="1"/>
  <c r="G22" i="5"/>
  <c r="J22" i="5" s="1"/>
  <c r="H33" i="5"/>
  <c r="K33" i="5" s="1"/>
  <c r="F35" i="5"/>
  <c r="G46" i="5"/>
  <c r="J46" i="5" s="1"/>
  <c r="H57" i="5"/>
  <c r="K57" i="5" s="1"/>
  <c r="F59" i="5"/>
  <c r="G70" i="5"/>
  <c r="J70" i="5" s="1"/>
  <c r="F83" i="5"/>
  <c r="F31" i="5"/>
  <c r="I18" i="5"/>
  <c r="P18" i="5" s="1"/>
  <c r="G35" i="5"/>
  <c r="J35" i="5" s="1"/>
  <c r="H46" i="5"/>
  <c r="K46" i="5" s="1"/>
  <c r="G59" i="5"/>
  <c r="J59" i="5" s="1"/>
  <c r="F72" i="5"/>
  <c r="G83" i="5"/>
  <c r="J83" i="5" s="1"/>
  <c r="F20" i="5"/>
  <c r="I42" i="5"/>
  <c r="P42" i="5" s="1"/>
  <c r="F61" i="5"/>
  <c r="G72" i="5"/>
  <c r="J72" i="5" s="1"/>
  <c r="F85" i="5"/>
  <c r="G20" i="5"/>
  <c r="J20" i="5" s="1"/>
  <c r="I9" i="5"/>
  <c r="P9" i="5" s="1"/>
  <c r="H11" i="5"/>
  <c r="K11" i="5" s="1"/>
  <c r="G24" i="5"/>
  <c r="J24" i="5" s="1"/>
  <c r="G48" i="5"/>
  <c r="G13" i="5"/>
  <c r="J13" i="5" s="1"/>
  <c r="H24" i="5"/>
  <c r="K24" i="5" s="1"/>
  <c r="F26" i="5"/>
  <c r="G37" i="5"/>
  <c r="J37" i="5" s="1"/>
  <c r="F50" i="5"/>
  <c r="G61" i="5"/>
  <c r="J61" i="5" s="1"/>
  <c r="F74" i="5"/>
  <c r="G85" i="5"/>
  <c r="J85" i="5" s="1"/>
  <c r="F22" i="5"/>
  <c r="F11" i="5"/>
  <c r="F13" i="5"/>
  <c r="F37" i="5"/>
  <c r="L36" i="5" l="1"/>
  <c r="O52" i="5"/>
  <c r="L35" i="5"/>
  <c r="L16" i="5"/>
  <c r="L38" i="5"/>
  <c r="L13" i="5"/>
  <c r="L33" i="5"/>
  <c r="O16" i="5"/>
  <c r="L11" i="5"/>
  <c r="Q11" i="5" s="1"/>
  <c r="M9" i="5"/>
  <c r="R9" i="5" s="1"/>
  <c r="P64" i="5"/>
  <c r="O88" i="5"/>
  <c r="L21" i="5"/>
  <c r="M21" i="5" s="1"/>
  <c r="R21" i="5" s="1"/>
  <c r="O64" i="5"/>
  <c r="L26" i="5"/>
  <c r="L27" i="5"/>
  <c r="L18" i="5"/>
  <c r="M18" i="5" s="1"/>
  <c r="R18" i="5" s="1"/>
  <c r="L30" i="5"/>
  <c r="L19" i="5"/>
  <c r="Q19" i="5" s="1"/>
  <c r="L32" i="5"/>
  <c r="Q32" i="5" s="1"/>
  <c r="L39" i="5"/>
  <c r="Q39" i="5" s="1"/>
  <c r="Q9" i="5"/>
  <c r="L28" i="5"/>
  <c r="Q28" i="5" s="1"/>
  <c r="P88" i="5"/>
  <c r="L10" i="5"/>
  <c r="P40" i="5"/>
  <c r="L14" i="5"/>
  <c r="L37" i="5"/>
  <c r="L34" i="5"/>
  <c r="O40" i="5"/>
  <c r="O18" i="5"/>
  <c r="L17" i="5"/>
  <c r="L23" i="5"/>
  <c r="L40" i="5"/>
  <c r="L53" i="5" s="1"/>
  <c r="L31" i="5"/>
  <c r="M31" i="5" s="1"/>
  <c r="R31" i="5" s="1"/>
  <c r="L20" i="5"/>
  <c r="P87" i="5"/>
  <c r="L22" i="5"/>
  <c r="M22" i="5" s="1"/>
  <c r="R22" i="5" s="1"/>
  <c r="O42" i="5"/>
  <c r="L15" i="5"/>
  <c r="Q15" i="5" s="1"/>
  <c r="O79" i="5"/>
  <c r="M25" i="5"/>
  <c r="R25" i="5" s="1"/>
  <c r="Q25" i="5"/>
  <c r="Q27" i="5"/>
  <c r="M27" i="5"/>
  <c r="R27" i="5" s="1"/>
  <c r="O19" i="5"/>
  <c r="I19" i="5"/>
  <c r="P19" i="5" s="1"/>
  <c r="M39" i="5"/>
  <c r="R39" i="5" s="1"/>
  <c r="O75" i="5"/>
  <c r="I75" i="5"/>
  <c r="P75" i="5" s="1"/>
  <c r="O74" i="5"/>
  <c r="I74" i="5"/>
  <c r="P74" i="5" s="1"/>
  <c r="O21" i="5"/>
  <c r="I21" i="5"/>
  <c r="P21" i="5" s="1"/>
  <c r="J48" i="5"/>
  <c r="P48" i="5" s="1"/>
  <c r="O48" i="5"/>
  <c r="O10" i="5"/>
  <c r="O49" i="5"/>
  <c r="I49" i="5"/>
  <c r="P49" i="5" s="1"/>
  <c r="I30" i="5"/>
  <c r="P30" i="5" s="1"/>
  <c r="O30" i="5"/>
  <c r="I83" i="5"/>
  <c r="P83" i="5" s="1"/>
  <c r="O83" i="5"/>
  <c r="P32" i="5"/>
  <c r="I35" i="5"/>
  <c r="P35" i="5" s="1"/>
  <c r="O35" i="5"/>
  <c r="Q30" i="5"/>
  <c r="M30" i="5"/>
  <c r="R30" i="5" s="1"/>
  <c r="O51" i="5"/>
  <c r="I51" i="5"/>
  <c r="P51" i="5" s="1"/>
  <c r="P17" i="5"/>
  <c r="M37" i="5"/>
  <c r="R37" i="5" s="1"/>
  <c r="Q37" i="5"/>
  <c r="Q36" i="5"/>
  <c r="M36" i="5"/>
  <c r="R36" i="5" s="1"/>
  <c r="I26" i="5"/>
  <c r="P26" i="5" s="1"/>
  <c r="O26" i="5"/>
  <c r="M35" i="5"/>
  <c r="R35" i="5" s="1"/>
  <c r="Q35" i="5"/>
  <c r="O25" i="5"/>
  <c r="I25" i="5"/>
  <c r="P25" i="5" s="1"/>
  <c r="O12" i="5"/>
  <c r="I12" i="5"/>
  <c r="P12" i="5" s="1"/>
  <c r="O43" i="5"/>
  <c r="I43" i="5"/>
  <c r="P43" i="5" s="1"/>
  <c r="Q17" i="5"/>
  <c r="M17" i="5"/>
  <c r="R17" i="5" s="1"/>
  <c r="M33" i="5"/>
  <c r="R33" i="5" s="1"/>
  <c r="Q33" i="5"/>
  <c r="M26" i="5"/>
  <c r="R26" i="5" s="1"/>
  <c r="Q26" i="5"/>
  <c r="M16" i="5"/>
  <c r="R16" i="5" s="1"/>
  <c r="Q16" i="5"/>
  <c r="Q14" i="5"/>
  <c r="M14" i="5"/>
  <c r="R14" i="5" s="1"/>
  <c r="P46" i="5"/>
  <c r="O84" i="5"/>
  <c r="I84" i="5"/>
  <c r="P84" i="5" s="1"/>
  <c r="I81" i="5"/>
  <c r="P81" i="5" s="1"/>
  <c r="O81" i="5"/>
  <c r="L57" i="5"/>
  <c r="L55" i="5"/>
  <c r="L68" i="5"/>
  <c r="L44" i="5"/>
  <c r="Q40" i="5"/>
  <c r="L64" i="5"/>
  <c r="L50" i="5"/>
  <c r="L49" i="5"/>
  <c r="L70" i="5"/>
  <c r="L66" i="5"/>
  <c r="L42" i="5"/>
  <c r="L69" i="5"/>
  <c r="L45" i="5"/>
  <c r="L41" i="5"/>
  <c r="L56" i="5"/>
  <c r="L67" i="5"/>
  <c r="L43" i="5"/>
  <c r="L54" i="5"/>
  <c r="L65" i="5"/>
  <c r="L52" i="5"/>
  <c r="L61" i="5"/>
  <c r="L63" i="5"/>
  <c r="L72" i="5"/>
  <c r="L59" i="5"/>
  <c r="L46" i="5"/>
  <c r="Q21" i="5"/>
  <c r="O41" i="5"/>
  <c r="I41" i="5"/>
  <c r="P41" i="5" s="1"/>
  <c r="O71" i="5"/>
  <c r="I71" i="5"/>
  <c r="P71" i="5" s="1"/>
  <c r="O50" i="5"/>
  <c r="I50" i="5"/>
  <c r="P50" i="5" s="1"/>
  <c r="O82" i="5"/>
  <c r="I82" i="5"/>
  <c r="P82" i="5" s="1"/>
  <c r="P56" i="5"/>
  <c r="Q10" i="5"/>
  <c r="M10" i="5"/>
  <c r="R10" i="5" s="1"/>
  <c r="I44" i="5"/>
  <c r="P44" i="5" s="1"/>
  <c r="O44" i="5"/>
  <c r="O73" i="5"/>
  <c r="I73" i="5"/>
  <c r="P73" i="5" s="1"/>
  <c r="O46" i="5"/>
  <c r="Q34" i="5"/>
  <c r="M34" i="5"/>
  <c r="R34" i="5" s="1"/>
  <c r="P10" i="5"/>
  <c r="Q38" i="5"/>
  <c r="M38" i="5"/>
  <c r="R38" i="5" s="1"/>
  <c r="M13" i="5"/>
  <c r="R13" i="5" s="1"/>
  <c r="Q13" i="5"/>
  <c r="I85" i="5"/>
  <c r="P85" i="5" s="1"/>
  <c r="O85" i="5"/>
  <c r="P54" i="5"/>
  <c r="I20" i="5"/>
  <c r="P20" i="5" s="1"/>
  <c r="O20" i="5"/>
  <c r="O36" i="5"/>
  <c r="I36" i="5"/>
  <c r="P36" i="5" s="1"/>
  <c r="I37" i="5"/>
  <c r="P37" i="5" s="1"/>
  <c r="O37" i="5"/>
  <c r="O80" i="5"/>
  <c r="I80" i="5"/>
  <c r="P80" i="5" s="1"/>
  <c r="O54" i="5"/>
  <c r="Q23" i="5"/>
  <c r="M23" i="5"/>
  <c r="R23" i="5" s="1"/>
  <c r="O38" i="5"/>
  <c r="I38" i="5"/>
  <c r="P38" i="5" s="1"/>
  <c r="O31" i="5"/>
  <c r="I31" i="5"/>
  <c r="P31" i="5" s="1"/>
  <c r="O55" i="5"/>
  <c r="I55" i="5"/>
  <c r="P55" i="5" s="1"/>
  <c r="Q29" i="5"/>
  <c r="M29" i="5"/>
  <c r="R29" i="5" s="1"/>
  <c r="O17" i="5"/>
  <c r="O69" i="5"/>
  <c r="I69" i="5"/>
  <c r="P69" i="5" s="1"/>
  <c r="I27" i="5"/>
  <c r="P27" i="5" s="1"/>
  <c r="O27" i="5"/>
  <c r="O67" i="5"/>
  <c r="Q22" i="5"/>
  <c r="I61" i="5"/>
  <c r="P61" i="5" s="1"/>
  <c r="O61" i="5"/>
  <c r="O60" i="5"/>
  <c r="I60" i="5"/>
  <c r="P60" i="5" s="1"/>
  <c r="O14" i="5"/>
  <c r="I14" i="5"/>
  <c r="P14" i="5" s="1"/>
  <c r="O45" i="5"/>
  <c r="I45" i="5"/>
  <c r="P45" i="5" s="1"/>
  <c r="I57" i="5"/>
  <c r="P57" i="5" s="1"/>
  <c r="O57" i="5"/>
  <c r="Q12" i="5"/>
  <c r="M12" i="5"/>
  <c r="R12" i="5" s="1"/>
  <c r="O24" i="5"/>
  <c r="O47" i="5"/>
  <c r="I47" i="5"/>
  <c r="P47" i="5" s="1"/>
  <c r="I59" i="5"/>
  <c r="P59" i="5" s="1"/>
  <c r="O59" i="5"/>
  <c r="O32" i="5"/>
  <c r="O58" i="5"/>
  <c r="I58" i="5"/>
  <c r="P58" i="5" s="1"/>
  <c r="O34" i="5"/>
  <c r="I34" i="5"/>
  <c r="P34" i="5" s="1"/>
  <c r="M20" i="5"/>
  <c r="R20" i="5" s="1"/>
  <c r="Q20" i="5"/>
  <c r="I70" i="5"/>
  <c r="P70" i="5" s="1"/>
  <c r="O70" i="5"/>
  <c r="I72" i="5"/>
  <c r="P72" i="5" s="1"/>
  <c r="O72" i="5"/>
  <c r="O56" i="5"/>
  <c r="O86" i="5"/>
  <c r="I86" i="5"/>
  <c r="P86" i="5" s="1"/>
  <c r="O13" i="5"/>
  <c r="I13" i="5"/>
  <c r="P13" i="5" s="1"/>
  <c r="O23" i="5"/>
  <c r="I23" i="5"/>
  <c r="P23" i="5" s="1"/>
  <c r="O78" i="5"/>
  <c r="I78" i="5"/>
  <c r="P78" i="5" s="1"/>
  <c r="I11" i="5"/>
  <c r="P11" i="5" s="1"/>
  <c r="O11" i="5"/>
  <c r="I68" i="5"/>
  <c r="P68" i="5" s="1"/>
  <c r="O68" i="5"/>
  <c r="O62" i="5"/>
  <c r="I62" i="5"/>
  <c r="P62" i="5" s="1"/>
  <c r="I22" i="5"/>
  <c r="P22" i="5" s="1"/>
  <c r="O22" i="5"/>
  <c r="P79" i="5"/>
  <c r="O65" i="5"/>
  <c r="I65" i="5"/>
  <c r="P65" i="5" s="1"/>
  <c r="Q24" i="5"/>
  <c r="M24" i="5"/>
  <c r="R24" i="5" s="1"/>
  <c r="P24" i="5"/>
  <c r="M19" i="5" l="1"/>
  <c r="R19" i="5" s="1"/>
  <c r="M28" i="5"/>
  <c r="R28" i="5" s="1"/>
  <c r="Q18" i="5"/>
  <c r="L58" i="5"/>
  <c r="L48" i="5"/>
  <c r="L47" i="5"/>
  <c r="L71" i="5"/>
  <c r="M71" i="5" s="1"/>
  <c r="R71" i="5" s="1"/>
  <c r="M32" i="5"/>
  <c r="R32" i="5" s="1"/>
  <c r="L60" i="5"/>
  <c r="M60" i="5" s="1"/>
  <c r="R60" i="5" s="1"/>
  <c r="L62" i="5"/>
  <c r="Q62" i="5" s="1"/>
  <c r="M11" i="5"/>
  <c r="R11" i="5" s="1"/>
  <c r="L51" i="5"/>
  <c r="Q51" i="5" s="1"/>
  <c r="Q31" i="5"/>
  <c r="M40" i="5"/>
  <c r="R40" i="5" s="1"/>
  <c r="M15" i="5"/>
  <c r="R15" i="5" s="1"/>
  <c r="M68" i="5"/>
  <c r="R68" i="5" s="1"/>
  <c r="Q68" i="5"/>
  <c r="Q43" i="5"/>
  <c r="M43" i="5"/>
  <c r="R43" i="5" s="1"/>
  <c r="Q56" i="5"/>
  <c r="M56" i="5"/>
  <c r="R56" i="5" s="1"/>
  <c r="M44" i="5"/>
  <c r="R44" i="5" s="1"/>
  <c r="Q44" i="5"/>
  <c r="Q71" i="5"/>
  <c r="M55" i="5"/>
  <c r="R55" i="5" s="1"/>
  <c r="Q55" i="5"/>
  <c r="Q45" i="5"/>
  <c r="M45" i="5"/>
  <c r="R45" i="5" s="1"/>
  <c r="Q54" i="5"/>
  <c r="M54" i="5"/>
  <c r="R54" i="5" s="1"/>
  <c r="Q47" i="5"/>
  <c r="M47" i="5"/>
  <c r="R47" i="5" s="1"/>
  <c r="M62" i="5"/>
  <c r="R62" i="5" s="1"/>
  <c r="M51" i="5"/>
  <c r="R51" i="5" s="1"/>
  <c r="M48" i="5"/>
  <c r="R48" i="5" s="1"/>
  <c r="Q48" i="5"/>
  <c r="M42" i="5"/>
  <c r="R42" i="5" s="1"/>
  <c r="Q42" i="5"/>
  <c r="Q67" i="5"/>
  <c r="M67" i="5"/>
  <c r="R67" i="5" s="1"/>
  <c r="Q41" i="5"/>
  <c r="M41" i="5"/>
  <c r="R41" i="5" s="1"/>
  <c r="Q59" i="5"/>
  <c r="M59" i="5"/>
  <c r="R59" i="5" s="1"/>
  <c r="Q69" i="5"/>
  <c r="M69" i="5"/>
  <c r="R69" i="5" s="1"/>
  <c r="Q53" i="5"/>
  <c r="M53" i="5"/>
  <c r="R53" i="5" s="1"/>
  <c r="M66" i="5"/>
  <c r="R66" i="5" s="1"/>
  <c r="Q66" i="5"/>
  <c r="L81" i="5"/>
  <c r="L79" i="5"/>
  <c r="L77" i="5"/>
  <c r="L88" i="5"/>
  <c r="L75" i="5"/>
  <c r="L86" i="5"/>
  <c r="L73" i="5"/>
  <c r="L84" i="5"/>
  <c r="L82" i="5"/>
  <c r="L80" i="5"/>
  <c r="L78" i="5"/>
  <c r="L76" i="5"/>
  <c r="Q72" i="5"/>
  <c r="L87" i="5"/>
  <c r="M72" i="5"/>
  <c r="R72" i="5" s="1"/>
  <c r="L74" i="5"/>
  <c r="L85" i="5"/>
  <c r="L83" i="5"/>
  <c r="Q49" i="5"/>
  <c r="M49" i="5"/>
  <c r="R49" i="5" s="1"/>
  <c r="M57" i="5"/>
  <c r="R57" i="5" s="1"/>
  <c r="Q57" i="5"/>
  <c r="Q46" i="5"/>
  <c r="M46" i="5"/>
  <c r="R46" i="5" s="1"/>
  <c r="Q63" i="5"/>
  <c r="M63" i="5"/>
  <c r="R63" i="5" s="1"/>
  <c r="Q50" i="5"/>
  <c r="M50" i="5"/>
  <c r="R50" i="5" s="1"/>
  <c r="Q58" i="5"/>
  <c r="M58" i="5"/>
  <c r="R58" i="5" s="1"/>
  <c r="Q70" i="5"/>
  <c r="M70" i="5"/>
  <c r="R70" i="5" s="1"/>
  <c r="M61" i="5"/>
  <c r="R61" i="5" s="1"/>
  <c r="Q61" i="5"/>
  <c r="Q64" i="5"/>
  <c r="M64" i="5"/>
  <c r="R64" i="5" s="1"/>
  <c r="Q65" i="5"/>
  <c r="M65" i="5"/>
  <c r="R65" i="5" s="1"/>
  <c r="Q52" i="5"/>
  <c r="M52" i="5"/>
  <c r="R52" i="5" s="1"/>
  <c r="Q60" i="5" l="1"/>
  <c r="Q86" i="5"/>
  <c r="M86" i="5"/>
  <c r="R86" i="5" s="1"/>
  <c r="M79" i="5"/>
  <c r="R79" i="5" s="1"/>
  <c r="Q79" i="5"/>
  <c r="Q87" i="5"/>
  <c r="M87" i="5"/>
  <c r="R87" i="5" s="1"/>
  <c r="Q84" i="5"/>
  <c r="M84" i="5"/>
  <c r="R84" i="5" s="1"/>
  <c r="Q88" i="5"/>
  <c r="M88" i="5"/>
  <c r="R88" i="5" s="1"/>
  <c r="M81" i="5"/>
  <c r="R81" i="5" s="1"/>
  <c r="Q81" i="5"/>
  <c r="Q83" i="5"/>
  <c r="M83" i="5"/>
  <c r="R83" i="5" s="1"/>
  <c r="Q76" i="5"/>
  <c r="M76" i="5"/>
  <c r="R76" i="5" s="1"/>
  <c r="Q73" i="5"/>
  <c r="M73" i="5"/>
  <c r="R73" i="5" s="1"/>
  <c r="Q77" i="5"/>
  <c r="M77" i="5"/>
  <c r="R77" i="5" s="1"/>
  <c r="Q85" i="5"/>
  <c r="M85" i="5"/>
  <c r="R85" i="5" s="1"/>
  <c r="M75" i="5"/>
  <c r="R75" i="5" s="1"/>
  <c r="Q75" i="5"/>
  <c r="Q74" i="5"/>
  <c r="M74" i="5"/>
  <c r="R74" i="5" s="1"/>
  <c r="Q78" i="5"/>
  <c r="M78" i="5"/>
  <c r="R78" i="5" s="1"/>
  <c r="Q80" i="5"/>
  <c r="M80" i="5"/>
  <c r="R80" i="5" s="1"/>
  <c r="Q82" i="5"/>
  <c r="M82" i="5"/>
  <c r="R82" i="5" s="1"/>
  <c r="B88" i="4" l="1"/>
  <c r="H88" i="4" s="1"/>
  <c r="K88" i="4" s="1"/>
  <c r="B87" i="4"/>
  <c r="F87" i="4" s="1"/>
  <c r="B86" i="4"/>
  <c r="H86" i="4" s="1"/>
  <c r="K86" i="4" s="1"/>
  <c r="B85" i="4"/>
  <c r="H85" i="4" s="1"/>
  <c r="K85" i="4" s="1"/>
  <c r="B84" i="4"/>
  <c r="H84" i="4" s="1"/>
  <c r="K84" i="4" s="1"/>
  <c r="B83" i="4"/>
  <c r="H83" i="4" s="1"/>
  <c r="K83" i="4" s="1"/>
  <c r="B82" i="4"/>
  <c r="H82" i="4" s="1"/>
  <c r="K82" i="4" s="1"/>
  <c r="B81" i="4"/>
  <c r="H81" i="4" s="1"/>
  <c r="K81" i="4" s="1"/>
  <c r="B80" i="4"/>
  <c r="F80" i="4" s="1"/>
  <c r="B79" i="4"/>
  <c r="H79" i="4" s="1"/>
  <c r="K79" i="4" s="1"/>
  <c r="B78" i="4"/>
  <c r="H78" i="4" s="1"/>
  <c r="K78" i="4" s="1"/>
  <c r="H77" i="4"/>
  <c r="K77" i="4" s="1"/>
  <c r="G77" i="4"/>
  <c r="J77" i="4" s="1"/>
  <c r="B77" i="4"/>
  <c r="F77" i="4" s="1"/>
  <c r="O77" i="4" s="1"/>
  <c r="B76" i="4"/>
  <c r="H76" i="4" s="1"/>
  <c r="K76" i="4" s="1"/>
  <c r="B75" i="4"/>
  <c r="G75" i="4" s="1"/>
  <c r="J75" i="4" s="1"/>
  <c r="B74" i="4"/>
  <c r="G74" i="4" s="1"/>
  <c r="J74" i="4" s="1"/>
  <c r="B73" i="4"/>
  <c r="H73" i="4" s="1"/>
  <c r="K73" i="4" s="1"/>
  <c r="B72" i="4"/>
  <c r="H72" i="4" s="1"/>
  <c r="K72" i="4" s="1"/>
  <c r="B71" i="4"/>
  <c r="H71" i="4" s="1"/>
  <c r="K71" i="4" s="1"/>
  <c r="B70" i="4"/>
  <c r="G70" i="4" s="1"/>
  <c r="B69" i="4"/>
  <c r="F69" i="4" s="1"/>
  <c r="B68" i="4"/>
  <c r="F68" i="4" s="1"/>
  <c r="B67" i="4"/>
  <c r="H67" i="4" s="1"/>
  <c r="K67" i="4" s="1"/>
  <c r="B66" i="4"/>
  <c r="F66" i="4" s="1"/>
  <c r="B65" i="4"/>
  <c r="H65" i="4" s="1"/>
  <c r="K65" i="4" s="1"/>
  <c r="B64" i="4"/>
  <c r="F64" i="4" s="1"/>
  <c r="B63" i="4"/>
  <c r="F63" i="4" s="1"/>
  <c r="B62" i="4"/>
  <c r="H62" i="4" s="1"/>
  <c r="K62" i="4" s="1"/>
  <c r="B61" i="4"/>
  <c r="H61" i="4" s="1"/>
  <c r="K61" i="4" s="1"/>
  <c r="B60" i="4"/>
  <c r="H60" i="4" s="1"/>
  <c r="K60" i="4" s="1"/>
  <c r="B59" i="4"/>
  <c r="H59" i="4" s="1"/>
  <c r="K59" i="4" s="1"/>
  <c r="B58" i="4"/>
  <c r="H58" i="4" s="1"/>
  <c r="K58" i="4" s="1"/>
  <c r="B57" i="4"/>
  <c r="G57" i="4" s="1"/>
  <c r="J57" i="4" s="1"/>
  <c r="B56" i="4"/>
  <c r="F56" i="4" s="1"/>
  <c r="F55" i="4"/>
  <c r="B55" i="4"/>
  <c r="H55" i="4" s="1"/>
  <c r="K55" i="4" s="1"/>
  <c r="B54" i="4"/>
  <c r="H54" i="4" s="1"/>
  <c r="K54" i="4" s="1"/>
  <c r="H53" i="4"/>
  <c r="K53" i="4" s="1"/>
  <c r="G53" i="4"/>
  <c r="J53" i="4" s="1"/>
  <c r="F53" i="4"/>
  <c r="I53" i="4" s="1"/>
  <c r="B53" i="4"/>
  <c r="B52" i="4"/>
  <c r="H52" i="4" s="1"/>
  <c r="K52" i="4" s="1"/>
  <c r="B51" i="4"/>
  <c r="G51" i="4" s="1"/>
  <c r="J51" i="4" s="1"/>
  <c r="B50" i="4"/>
  <c r="G50" i="4" s="1"/>
  <c r="J50" i="4" s="1"/>
  <c r="B49" i="4"/>
  <c r="H49" i="4" s="1"/>
  <c r="K49" i="4" s="1"/>
  <c r="B48" i="4"/>
  <c r="H48" i="4" s="1"/>
  <c r="K48" i="4" s="1"/>
  <c r="B47" i="4"/>
  <c r="G47" i="4" s="1"/>
  <c r="J47" i="4" s="1"/>
  <c r="B46" i="4"/>
  <c r="G46" i="4" s="1"/>
  <c r="J46" i="4" s="1"/>
  <c r="B45" i="4"/>
  <c r="F45" i="4" s="1"/>
  <c r="B44" i="4"/>
  <c r="H44" i="4" s="1"/>
  <c r="K44" i="4" s="1"/>
  <c r="B43" i="4"/>
  <c r="H43" i="4" s="1"/>
  <c r="K43" i="4" s="1"/>
  <c r="B42" i="4"/>
  <c r="H42" i="4" s="1"/>
  <c r="K42" i="4" s="1"/>
  <c r="B41" i="4"/>
  <c r="G41" i="4" s="1"/>
  <c r="J41" i="4" s="1"/>
  <c r="B40" i="4"/>
  <c r="F40" i="4" s="1"/>
  <c r="H39" i="4"/>
  <c r="K39" i="4" s="1"/>
  <c r="G39" i="4"/>
  <c r="J39" i="4" s="1"/>
  <c r="B39" i="4"/>
  <c r="F39" i="4" s="1"/>
  <c r="B38" i="4"/>
  <c r="H38" i="4" s="1"/>
  <c r="K38" i="4" s="1"/>
  <c r="B37" i="4"/>
  <c r="H37" i="4" s="1"/>
  <c r="K37" i="4" s="1"/>
  <c r="B36" i="4"/>
  <c r="H36" i="4" s="1"/>
  <c r="K36" i="4" s="1"/>
  <c r="B35" i="4"/>
  <c r="H35" i="4" s="1"/>
  <c r="K35" i="4" s="1"/>
  <c r="B34" i="4"/>
  <c r="H34" i="4" s="1"/>
  <c r="K34" i="4" s="1"/>
  <c r="B33" i="4"/>
  <c r="H33" i="4" s="1"/>
  <c r="K33" i="4" s="1"/>
  <c r="B32" i="4"/>
  <c r="F32" i="4" s="1"/>
  <c r="B31" i="4"/>
  <c r="H31" i="4" s="1"/>
  <c r="K31" i="4" s="1"/>
  <c r="B30" i="4"/>
  <c r="H30" i="4" s="1"/>
  <c r="K30" i="4" s="1"/>
  <c r="B29" i="4"/>
  <c r="G29" i="4" s="1"/>
  <c r="J29" i="4" s="1"/>
  <c r="B28" i="4"/>
  <c r="H28" i="4" s="1"/>
  <c r="K28" i="4" s="1"/>
  <c r="B27" i="4"/>
  <c r="G27" i="4" s="1"/>
  <c r="J27" i="4" s="1"/>
  <c r="B26" i="4"/>
  <c r="F26" i="4" s="1"/>
  <c r="B25" i="4"/>
  <c r="H25" i="4" s="1"/>
  <c r="K25" i="4" s="1"/>
  <c r="B24" i="4"/>
  <c r="H24" i="4" s="1"/>
  <c r="K24" i="4" s="1"/>
  <c r="B23" i="4"/>
  <c r="H23" i="4" s="1"/>
  <c r="K23" i="4" s="1"/>
  <c r="B22" i="4"/>
  <c r="H22" i="4" s="1"/>
  <c r="K22" i="4" s="1"/>
  <c r="B21" i="4"/>
  <c r="G21" i="4" s="1"/>
  <c r="J21" i="4" s="1"/>
  <c r="B20" i="4"/>
  <c r="H20" i="4" s="1"/>
  <c r="K20" i="4" s="1"/>
  <c r="B19" i="4"/>
  <c r="H19" i="4" s="1"/>
  <c r="K19" i="4" s="1"/>
  <c r="B18" i="4"/>
  <c r="H18" i="4" s="1"/>
  <c r="K18" i="4" s="1"/>
  <c r="B17" i="4"/>
  <c r="H17" i="4" s="1"/>
  <c r="K17" i="4" s="1"/>
  <c r="B16" i="4"/>
  <c r="F16" i="4" s="1"/>
  <c r="B15" i="4"/>
  <c r="G15" i="4" s="1"/>
  <c r="J15" i="4" s="1"/>
  <c r="B14" i="4"/>
  <c r="H14" i="4" s="1"/>
  <c r="K14" i="4" s="1"/>
  <c r="B13" i="4"/>
  <c r="G13" i="4" s="1"/>
  <c r="J13" i="4" s="1"/>
  <c r="B12" i="4"/>
  <c r="H12" i="4" s="1"/>
  <c r="K12" i="4" s="1"/>
  <c r="B11" i="4"/>
  <c r="H11" i="4" s="1"/>
  <c r="K11" i="4" s="1"/>
  <c r="B10" i="4"/>
  <c r="G10" i="4" s="1"/>
  <c r="J10" i="4" s="1"/>
  <c r="H9" i="4"/>
  <c r="K9" i="4" s="1"/>
  <c r="G9" i="4"/>
  <c r="J9" i="4" s="1"/>
  <c r="F9" i="4"/>
  <c r="L9" i="4" s="1"/>
  <c r="H13" i="4" l="1"/>
  <c r="K13" i="4" s="1"/>
  <c r="F28" i="4"/>
  <c r="F79" i="4"/>
  <c r="G79" i="4"/>
  <c r="J79" i="4" s="1"/>
  <c r="G66" i="4"/>
  <c r="J66" i="4" s="1"/>
  <c r="G28" i="4"/>
  <c r="J28" i="4" s="1"/>
  <c r="G42" i="4"/>
  <c r="J42" i="4" s="1"/>
  <c r="H40" i="4"/>
  <c r="K40" i="4" s="1"/>
  <c r="F15" i="4"/>
  <c r="I15" i="4" s="1"/>
  <c r="F70" i="4"/>
  <c r="I70" i="4" s="1"/>
  <c r="H74" i="4"/>
  <c r="K74" i="4" s="1"/>
  <c r="F83" i="4"/>
  <c r="I83" i="4" s="1"/>
  <c r="F54" i="4"/>
  <c r="I54" i="4" s="1"/>
  <c r="P54" i="4" s="1"/>
  <c r="H15" i="4"/>
  <c r="K15" i="4" s="1"/>
  <c r="P15" i="4" s="1"/>
  <c r="F30" i="4"/>
  <c r="I30" i="4" s="1"/>
  <c r="P30" i="4" s="1"/>
  <c r="F31" i="4"/>
  <c r="I31" i="4" s="1"/>
  <c r="P31" i="4" s="1"/>
  <c r="F60" i="4"/>
  <c r="I60" i="4" s="1"/>
  <c r="G71" i="4"/>
  <c r="J71" i="4" s="1"/>
  <c r="G31" i="4"/>
  <c r="J31" i="4" s="1"/>
  <c r="H75" i="4"/>
  <c r="K75" i="4" s="1"/>
  <c r="F84" i="4"/>
  <c r="I84" i="4" s="1"/>
  <c r="G78" i="4"/>
  <c r="J78" i="4" s="1"/>
  <c r="H50" i="4"/>
  <c r="K50" i="4" s="1"/>
  <c r="G40" i="4"/>
  <c r="J40" i="4" s="1"/>
  <c r="H29" i="4"/>
  <c r="K29" i="4" s="1"/>
  <c r="H16" i="4"/>
  <c r="K16" i="4" s="1"/>
  <c r="H51" i="4"/>
  <c r="K51" i="4" s="1"/>
  <c r="G63" i="4"/>
  <c r="J63" i="4" s="1"/>
  <c r="F76" i="4"/>
  <c r="I76" i="4" s="1"/>
  <c r="H63" i="4"/>
  <c r="K63" i="4" s="1"/>
  <c r="G76" i="4"/>
  <c r="J76" i="4" s="1"/>
  <c r="P76" i="4" s="1"/>
  <c r="G87" i="4"/>
  <c r="J87" i="4" s="1"/>
  <c r="H27" i="4"/>
  <c r="K27" i="4" s="1"/>
  <c r="G54" i="4"/>
  <c r="J54" i="4" s="1"/>
  <c r="F52" i="4"/>
  <c r="I52" i="4" s="1"/>
  <c r="H87" i="4"/>
  <c r="K87" i="4" s="1"/>
  <c r="F78" i="4"/>
  <c r="I78" i="4" s="1"/>
  <c r="P78" i="4" s="1"/>
  <c r="G55" i="4"/>
  <c r="J55" i="4" s="1"/>
  <c r="G52" i="4"/>
  <c r="J52" i="4" s="1"/>
  <c r="G64" i="4"/>
  <c r="J64" i="4" s="1"/>
  <c r="F29" i="4"/>
  <c r="O29" i="4" s="1"/>
  <c r="G16" i="4"/>
  <c r="J16" i="4" s="1"/>
  <c r="G18" i="4"/>
  <c r="J18" i="4" s="1"/>
  <c r="G26" i="4"/>
  <c r="J26" i="4" s="1"/>
  <c r="H64" i="4"/>
  <c r="K64" i="4" s="1"/>
  <c r="G88" i="4"/>
  <c r="J88" i="4" s="1"/>
  <c r="H66" i="4"/>
  <c r="K66" i="4" s="1"/>
  <c r="G30" i="4"/>
  <c r="J30" i="4" s="1"/>
  <c r="H26" i="4"/>
  <c r="K26" i="4" s="1"/>
  <c r="O9" i="4"/>
  <c r="P53" i="4"/>
  <c r="I77" i="4"/>
  <c r="P77" i="4" s="1"/>
  <c r="I16" i="4"/>
  <c r="I69" i="4"/>
  <c r="O79" i="4"/>
  <c r="J70" i="4"/>
  <c r="I56" i="4"/>
  <c r="I45" i="4"/>
  <c r="L33" i="4"/>
  <c r="L25" i="4"/>
  <c r="L20" i="4"/>
  <c r="L40" i="4"/>
  <c r="L38" i="4"/>
  <c r="L31" i="4"/>
  <c r="L18" i="4"/>
  <c r="L29" i="4"/>
  <c r="L27" i="4"/>
  <c r="L39" i="4"/>
  <c r="L14" i="4"/>
  <c r="L15" i="4"/>
  <c r="L16" i="4"/>
  <c r="M9" i="4"/>
  <c r="R9" i="4" s="1"/>
  <c r="L36" i="4"/>
  <c r="L12" i="4"/>
  <c r="L37" i="4"/>
  <c r="L23" i="4"/>
  <c r="L17" i="4"/>
  <c r="L34" i="4"/>
  <c r="L10" i="4"/>
  <c r="L21" i="4"/>
  <c r="L30" i="4"/>
  <c r="L32" i="4"/>
  <c r="L13" i="4"/>
  <c r="L19" i="4"/>
  <c r="Q9" i="4"/>
  <c r="L24" i="4"/>
  <c r="L28" i="4"/>
  <c r="L22" i="4"/>
  <c r="L26" i="4"/>
  <c r="L35" i="4"/>
  <c r="L11" i="4"/>
  <c r="I26" i="4"/>
  <c r="I68" i="4"/>
  <c r="I80" i="4"/>
  <c r="I32" i="4"/>
  <c r="I87" i="4"/>
  <c r="I39" i="4"/>
  <c r="P39" i="4" s="1"/>
  <c r="O39" i="4"/>
  <c r="I40" i="4"/>
  <c r="I66" i="4"/>
  <c r="O55" i="4"/>
  <c r="I63" i="4"/>
  <c r="P63" i="4" s="1"/>
  <c r="O63" i="4"/>
  <c r="I64" i="4"/>
  <c r="F17" i="4"/>
  <c r="F41" i="4"/>
  <c r="F65" i="4"/>
  <c r="G17" i="4"/>
  <c r="J17" i="4" s="1"/>
  <c r="G65" i="4"/>
  <c r="J65" i="4" s="1"/>
  <c r="F19" i="4"/>
  <c r="H32" i="4"/>
  <c r="K32" i="4" s="1"/>
  <c r="F34" i="4"/>
  <c r="G45" i="4"/>
  <c r="J45" i="4" s="1"/>
  <c r="H56" i="4"/>
  <c r="K56" i="4" s="1"/>
  <c r="F58" i="4"/>
  <c r="G69" i="4"/>
  <c r="J69" i="4" s="1"/>
  <c r="H80" i="4"/>
  <c r="K80" i="4" s="1"/>
  <c r="F82" i="4"/>
  <c r="I28" i="4"/>
  <c r="P28" i="4" s="1"/>
  <c r="O15" i="4"/>
  <c r="G34" i="4"/>
  <c r="J34" i="4" s="1"/>
  <c r="H45" i="4"/>
  <c r="K45" i="4" s="1"/>
  <c r="F47" i="4"/>
  <c r="G58" i="4"/>
  <c r="J58" i="4" s="1"/>
  <c r="H69" i="4"/>
  <c r="K69" i="4" s="1"/>
  <c r="F71" i="4"/>
  <c r="G82" i="4"/>
  <c r="J82" i="4" s="1"/>
  <c r="G23" i="4"/>
  <c r="J23" i="4" s="1"/>
  <c r="O52" i="4"/>
  <c r="O76" i="4"/>
  <c r="F21" i="4"/>
  <c r="F23" i="4"/>
  <c r="F36" i="4"/>
  <c r="F25" i="4"/>
  <c r="G36" i="4"/>
  <c r="J36" i="4" s="1"/>
  <c r="H47" i="4"/>
  <c r="K47" i="4" s="1"/>
  <c r="F49" i="4"/>
  <c r="G60" i="4"/>
  <c r="J60" i="4" s="1"/>
  <c r="F73" i="4"/>
  <c r="G84" i="4"/>
  <c r="H41" i="4"/>
  <c r="K41" i="4" s="1"/>
  <c r="G43" i="4"/>
  <c r="J43" i="4" s="1"/>
  <c r="F10" i="4"/>
  <c r="H10" i="4"/>
  <c r="K10" i="4" s="1"/>
  <c r="G12" i="4"/>
  <c r="J12" i="4" s="1"/>
  <c r="G25" i="4"/>
  <c r="J25" i="4" s="1"/>
  <c r="F38" i="4"/>
  <c r="G49" i="4"/>
  <c r="J49" i="4" s="1"/>
  <c r="O54" i="4"/>
  <c r="F62" i="4"/>
  <c r="G73" i="4"/>
  <c r="J73" i="4" s="1"/>
  <c r="F86" i="4"/>
  <c r="H21" i="4"/>
  <c r="K21" i="4" s="1"/>
  <c r="F12" i="4"/>
  <c r="F27" i="4"/>
  <c r="G38" i="4"/>
  <c r="J38" i="4" s="1"/>
  <c r="F51" i="4"/>
  <c r="G62" i="4"/>
  <c r="J62" i="4" s="1"/>
  <c r="F75" i="4"/>
  <c r="G86" i="4"/>
  <c r="J86" i="4" s="1"/>
  <c r="G32" i="4"/>
  <c r="J32" i="4" s="1"/>
  <c r="G56" i="4"/>
  <c r="J56" i="4" s="1"/>
  <c r="F14" i="4"/>
  <c r="G14" i="4"/>
  <c r="J14" i="4" s="1"/>
  <c r="F88" i="4"/>
  <c r="F67" i="4"/>
  <c r="G80" i="4"/>
  <c r="J80" i="4" s="1"/>
  <c r="F18" i="4"/>
  <c r="F42" i="4"/>
  <c r="G67" i="4"/>
  <c r="J67" i="4" s="1"/>
  <c r="I29" i="4"/>
  <c r="P29" i="4" s="1"/>
  <c r="G20" i="4"/>
  <c r="J20" i="4" s="1"/>
  <c r="F33" i="4"/>
  <c r="G44" i="4"/>
  <c r="J44" i="4" s="1"/>
  <c r="F57" i="4"/>
  <c r="G68" i="4"/>
  <c r="J68" i="4" s="1"/>
  <c r="F81" i="4"/>
  <c r="G19" i="4"/>
  <c r="J19" i="4" s="1"/>
  <c r="I55" i="4"/>
  <c r="H68" i="4"/>
  <c r="K68" i="4" s="1"/>
  <c r="I79" i="4"/>
  <c r="P79" i="4" s="1"/>
  <c r="G81" i="4"/>
  <c r="J81" i="4" s="1"/>
  <c r="F59" i="4"/>
  <c r="F44" i="4"/>
  <c r="F22" i="4"/>
  <c r="G22" i="4"/>
  <c r="J22" i="4" s="1"/>
  <c r="I9" i="4"/>
  <c r="P9" i="4" s="1"/>
  <c r="G11" i="4"/>
  <c r="J11" i="4" s="1"/>
  <c r="F24" i="4"/>
  <c r="G35" i="4"/>
  <c r="J35" i="4" s="1"/>
  <c r="H46" i="4"/>
  <c r="K46" i="4" s="1"/>
  <c r="F48" i="4"/>
  <c r="G59" i="4"/>
  <c r="J59" i="4" s="1"/>
  <c r="H70" i="4"/>
  <c r="K70" i="4" s="1"/>
  <c r="F72" i="4"/>
  <c r="G83" i="4"/>
  <c r="F43" i="4"/>
  <c r="G33" i="4"/>
  <c r="J33" i="4" s="1"/>
  <c r="F11" i="4"/>
  <c r="F35" i="4"/>
  <c r="F13" i="4"/>
  <c r="G24" i="4"/>
  <c r="J24" i="4" s="1"/>
  <c r="F37" i="4"/>
  <c r="G48" i="4"/>
  <c r="J48" i="4" s="1"/>
  <c r="O53" i="4"/>
  <c r="F61" i="4"/>
  <c r="G72" i="4"/>
  <c r="J72" i="4" s="1"/>
  <c r="F85" i="4"/>
  <c r="F20" i="4"/>
  <c r="H57" i="4"/>
  <c r="K57" i="4" s="1"/>
  <c r="G37" i="4"/>
  <c r="J37" i="4" s="1"/>
  <c r="F50" i="4"/>
  <c r="G61" i="4"/>
  <c r="J61" i="4" s="1"/>
  <c r="F74" i="4"/>
  <c r="G85" i="4"/>
  <c r="J85" i="4" s="1"/>
  <c r="F46" i="4"/>
  <c r="O64" i="4" l="1"/>
  <c r="O31" i="4"/>
  <c r="P64" i="4"/>
  <c r="O66" i="4"/>
  <c r="O78" i="4"/>
  <c r="P52" i="4"/>
  <c r="P66" i="4"/>
  <c r="O87" i="4"/>
  <c r="P16" i="4"/>
  <c r="O30" i="4"/>
  <c r="P87" i="4"/>
  <c r="O16" i="4"/>
  <c r="P26" i="4"/>
  <c r="P40" i="4"/>
  <c r="O40" i="4"/>
  <c r="O28" i="4"/>
  <c r="O26" i="4"/>
  <c r="P55" i="4"/>
  <c r="P70" i="4"/>
  <c r="M26" i="4"/>
  <c r="R26" i="4" s="1"/>
  <c r="Q26" i="4"/>
  <c r="M18" i="4"/>
  <c r="R18" i="4" s="1"/>
  <c r="Q18" i="4"/>
  <c r="I72" i="4"/>
  <c r="P72" i="4" s="1"/>
  <c r="O72" i="4"/>
  <c r="Q32" i="4"/>
  <c r="M32" i="4"/>
  <c r="R32" i="4" s="1"/>
  <c r="I33" i="4"/>
  <c r="P33" i="4" s="1"/>
  <c r="O33" i="4"/>
  <c r="Q38" i="4"/>
  <c r="M38" i="4"/>
  <c r="R38" i="4" s="1"/>
  <c r="O42" i="4"/>
  <c r="I42" i="4"/>
  <c r="P42" i="4" s="1"/>
  <c r="I48" i="4"/>
  <c r="P48" i="4" s="1"/>
  <c r="O48" i="4"/>
  <c r="Q30" i="4"/>
  <c r="M30" i="4"/>
  <c r="R30" i="4" s="1"/>
  <c r="M31" i="4"/>
  <c r="R31" i="4" s="1"/>
  <c r="Q31" i="4"/>
  <c r="I46" i="4"/>
  <c r="P46" i="4" s="1"/>
  <c r="O46" i="4"/>
  <c r="I24" i="4"/>
  <c r="P24" i="4" s="1"/>
  <c r="O24" i="4"/>
  <c r="Q22" i="4"/>
  <c r="M22" i="4"/>
  <c r="R22" i="4" s="1"/>
  <c r="P56" i="4"/>
  <c r="Q17" i="4"/>
  <c r="M17" i="4"/>
  <c r="R17" i="4" s="1"/>
  <c r="Q23" i="4"/>
  <c r="M23" i="4"/>
  <c r="R23" i="4" s="1"/>
  <c r="L57" i="4"/>
  <c r="L53" i="4"/>
  <c r="L70" i="4"/>
  <c r="L46" i="4"/>
  <c r="L68" i="4"/>
  <c r="L44" i="4"/>
  <c r="Q40" i="4"/>
  <c r="L61" i="4"/>
  <c r="L55" i="4"/>
  <c r="L62" i="4"/>
  <c r="L66" i="4"/>
  <c r="L42" i="4"/>
  <c r="L49" i="4"/>
  <c r="M40" i="4"/>
  <c r="R40" i="4" s="1"/>
  <c r="L64" i="4"/>
  <c r="L63" i="4"/>
  <c r="L51" i="4"/>
  <c r="L60" i="4"/>
  <c r="L71" i="4"/>
  <c r="L47" i="4"/>
  <c r="L58" i="4"/>
  <c r="L50" i="4"/>
  <c r="L69" i="4"/>
  <c r="L45" i="4"/>
  <c r="L72" i="4"/>
  <c r="L56" i="4"/>
  <c r="L54" i="4"/>
  <c r="L67" i="4"/>
  <c r="L43" i="4"/>
  <c r="L65" i="4"/>
  <c r="L41" i="4"/>
  <c r="L52" i="4"/>
  <c r="L48" i="4"/>
  <c r="L59" i="4"/>
  <c r="M37" i="4"/>
  <c r="R37" i="4" s="1"/>
  <c r="Q37" i="4"/>
  <c r="O60" i="4"/>
  <c r="J83" i="4"/>
  <c r="P83" i="4" s="1"/>
  <c r="O83" i="4"/>
  <c r="Q25" i="4"/>
  <c r="M25" i="4"/>
  <c r="R25" i="4" s="1"/>
  <c r="O50" i="4"/>
  <c r="I50" i="4"/>
  <c r="P50" i="4" s="1"/>
  <c r="O56" i="4"/>
  <c r="I22" i="4"/>
  <c r="P22" i="4" s="1"/>
  <c r="O22" i="4"/>
  <c r="I59" i="4"/>
  <c r="P59" i="4" s="1"/>
  <c r="O59" i="4"/>
  <c r="O68" i="4"/>
  <c r="Q16" i="4"/>
  <c r="M16" i="4"/>
  <c r="R16" i="4" s="1"/>
  <c r="P69" i="4"/>
  <c r="Q24" i="4"/>
  <c r="M24" i="4"/>
  <c r="R24" i="4" s="1"/>
  <c r="O47" i="4"/>
  <c r="I47" i="4"/>
  <c r="P47" i="4" s="1"/>
  <c r="Q13" i="4"/>
  <c r="M13" i="4"/>
  <c r="R13" i="4" s="1"/>
  <c r="O82" i="4"/>
  <c r="I82" i="4"/>
  <c r="P82" i="4" s="1"/>
  <c r="I20" i="4"/>
  <c r="P20" i="4" s="1"/>
  <c r="O20" i="4"/>
  <c r="O58" i="4"/>
  <c r="I58" i="4"/>
  <c r="P58" i="4" s="1"/>
  <c r="P68" i="4"/>
  <c r="Q15" i="4"/>
  <c r="M15" i="4"/>
  <c r="R15" i="4" s="1"/>
  <c r="O69" i="4"/>
  <c r="O62" i="4"/>
  <c r="I62" i="4"/>
  <c r="P62" i="4" s="1"/>
  <c r="O38" i="4"/>
  <c r="I38" i="4"/>
  <c r="P38" i="4" s="1"/>
  <c r="Q19" i="4"/>
  <c r="M19" i="4"/>
  <c r="R19" i="4" s="1"/>
  <c r="O74" i="4"/>
  <c r="I74" i="4"/>
  <c r="P74" i="4" s="1"/>
  <c r="O45" i="4"/>
  <c r="O14" i="4"/>
  <c r="I14" i="4"/>
  <c r="P14" i="4" s="1"/>
  <c r="O73" i="4"/>
  <c r="I73" i="4"/>
  <c r="P73" i="4" s="1"/>
  <c r="O75" i="4"/>
  <c r="I75" i="4"/>
  <c r="P75" i="4" s="1"/>
  <c r="O61" i="4"/>
  <c r="I61" i="4"/>
  <c r="P61" i="4" s="1"/>
  <c r="I13" i="4"/>
  <c r="P13" i="4" s="1"/>
  <c r="O13" i="4"/>
  <c r="Q14" i="4"/>
  <c r="M14" i="4"/>
  <c r="R14" i="4" s="1"/>
  <c r="Q28" i="4"/>
  <c r="M28" i="4"/>
  <c r="R28" i="4" s="1"/>
  <c r="M20" i="4"/>
  <c r="R20" i="4" s="1"/>
  <c r="Q20" i="4"/>
  <c r="Q33" i="4"/>
  <c r="M33" i="4"/>
  <c r="R33" i="4" s="1"/>
  <c r="P45" i="4"/>
  <c r="O10" i="4"/>
  <c r="I10" i="4"/>
  <c r="P10" i="4" s="1"/>
  <c r="Q10" i="4"/>
  <c r="M10" i="4"/>
  <c r="R10" i="4" s="1"/>
  <c r="O70" i="4"/>
  <c r="P32" i="4"/>
  <c r="M12" i="4"/>
  <c r="R12" i="4" s="1"/>
  <c r="Q12" i="4"/>
  <c r="Q36" i="4"/>
  <c r="M36" i="4"/>
  <c r="R36" i="4" s="1"/>
  <c r="O51" i="4"/>
  <c r="I51" i="4"/>
  <c r="P51" i="4" s="1"/>
  <c r="O80" i="4"/>
  <c r="I37" i="4"/>
  <c r="P37" i="4" s="1"/>
  <c r="O37" i="4"/>
  <c r="I19" i="4"/>
  <c r="P19" i="4" s="1"/>
  <c r="O19" i="4"/>
  <c r="O27" i="4"/>
  <c r="I27" i="4"/>
  <c r="P27" i="4" s="1"/>
  <c r="O36" i="4"/>
  <c r="I36" i="4"/>
  <c r="P36" i="4" s="1"/>
  <c r="I81" i="4"/>
  <c r="P81" i="4" s="1"/>
  <c r="O81" i="4"/>
  <c r="I35" i="4"/>
  <c r="P35" i="4" s="1"/>
  <c r="O35" i="4"/>
  <c r="O21" i="4"/>
  <c r="I21" i="4"/>
  <c r="P21" i="4" s="1"/>
  <c r="I65" i="4"/>
  <c r="P65" i="4" s="1"/>
  <c r="O65" i="4"/>
  <c r="Q39" i="4"/>
  <c r="M39" i="4"/>
  <c r="R39" i="4" s="1"/>
  <c r="O71" i="4"/>
  <c r="I71" i="4"/>
  <c r="P71" i="4" s="1"/>
  <c r="O88" i="4"/>
  <c r="I88" i="4"/>
  <c r="P88" i="4" s="1"/>
  <c r="O84" i="4"/>
  <c r="J84" i="4"/>
  <c r="P84" i="4" s="1"/>
  <c r="I85" i="4"/>
  <c r="P85" i="4" s="1"/>
  <c r="O85" i="4"/>
  <c r="O49" i="4"/>
  <c r="I49" i="4"/>
  <c r="P49" i="4" s="1"/>
  <c r="P60" i="4"/>
  <c r="O34" i="4"/>
  <c r="I34" i="4"/>
  <c r="P34" i="4" s="1"/>
  <c r="O25" i="4"/>
  <c r="I25" i="4"/>
  <c r="P25" i="4" s="1"/>
  <c r="I11" i="4"/>
  <c r="P11" i="4" s="1"/>
  <c r="O11" i="4"/>
  <c r="I57" i="4"/>
  <c r="P57" i="4" s="1"/>
  <c r="O57" i="4"/>
  <c r="O86" i="4"/>
  <c r="I86" i="4"/>
  <c r="P86" i="4" s="1"/>
  <c r="I41" i="4"/>
  <c r="P41" i="4" s="1"/>
  <c r="O41" i="4"/>
  <c r="M11" i="4"/>
  <c r="R11" i="4" s="1"/>
  <c r="Q11" i="4"/>
  <c r="Q27" i="4"/>
  <c r="M27" i="4"/>
  <c r="R27" i="4" s="1"/>
  <c r="O43" i="4"/>
  <c r="I43" i="4"/>
  <c r="P43" i="4" s="1"/>
  <c r="O18" i="4"/>
  <c r="I18" i="4"/>
  <c r="P18" i="4" s="1"/>
  <c r="O67" i="4"/>
  <c r="I67" i="4"/>
  <c r="P67" i="4" s="1"/>
  <c r="Q21" i="4"/>
  <c r="M21" i="4"/>
  <c r="R21" i="4" s="1"/>
  <c r="Q34" i="4"/>
  <c r="M34" i="4"/>
  <c r="R34" i="4" s="1"/>
  <c r="I44" i="4"/>
  <c r="P44" i="4" s="1"/>
  <c r="O44" i="4"/>
  <c r="O32" i="4"/>
  <c r="P80" i="4"/>
  <c r="O12" i="4"/>
  <c r="I12" i="4"/>
  <c r="P12" i="4" s="1"/>
  <c r="O23" i="4"/>
  <c r="I23" i="4"/>
  <c r="P23" i="4" s="1"/>
  <c r="I17" i="4"/>
  <c r="P17" i="4" s="1"/>
  <c r="O17" i="4"/>
  <c r="M35" i="4"/>
  <c r="R35" i="4" s="1"/>
  <c r="Q35" i="4"/>
  <c r="Q29" i="4"/>
  <c r="M29" i="4"/>
  <c r="R29" i="4" s="1"/>
  <c r="Q51" i="4" l="1"/>
  <c r="M51" i="4"/>
  <c r="R51" i="4" s="1"/>
  <c r="Q48" i="4"/>
  <c r="M48" i="4"/>
  <c r="R48" i="4" s="1"/>
  <c r="M66" i="4"/>
  <c r="R66" i="4" s="1"/>
  <c r="Q66" i="4"/>
  <c r="Q52" i="4"/>
  <c r="M52" i="4"/>
  <c r="R52" i="4" s="1"/>
  <c r="M49" i="4"/>
  <c r="R49" i="4" s="1"/>
  <c r="Q49" i="4"/>
  <c r="Q62" i="4"/>
  <c r="M62" i="4"/>
  <c r="R62" i="4" s="1"/>
  <c r="Q46" i="4"/>
  <c r="M46" i="4"/>
  <c r="R46" i="4" s="1"/>
  <c r="M42" i="4"/>
  <c r="R42" i="4" s="1"/>
  <c r="Q42" i="4"/>
  <c r="Q41" i="4"/>
  <c r="M41" i="4"/>
  <c r="R41" i="4" s="1"/>
  <c r="M44" i="4"/>
  <c r="R44" i="4" s="1"/>
  <c r="Q44" i="4"/>
  <c r="Q67" i="4"/>
  <c r="M67" i="4"/>
  <c r="R67" i="4" s="1"/>
  <c r="Q43" i="4"/>
  <c r="M43" i="4"/>
  <c r="R43" i="4" s="1"/>
  <c r="M55" i="4"/>
  <c r="R55" i="4" s="1"/>
  <c r="Q55" i="4"/>
  <c r="Q70" i="4"/>
  <c r="M70" i="4"/>
  <c r="R70" i="4" s="1"/>
  <c r="Q58" i="4"/>
  <c r="M58" i="4"/>
  <c r="R58" i="4" s="1"/>
  <c r="Q63" i="4"/>
  <c r="M63" i="4"/>
  <c r="R63" i="4" s="1"/>
  <c r="Q59" i="4"/>
  <c r="M59" i="4"/>
  <c r="R59" i="4" s="1"/>
  <c r="M61" i="4"/>
  <c r="R61" i="4" s="1"/>
  <c r="Q61" i="4"/>
  <c r="M65" i="4"/>
  <c r="R65" i="4" s="1"/>
  <c r="Q65" i="4"/>
  <c r="Q54" i="4"/>
  <c r="M54" i="4"/>
  <c r="R54" i="4" s="1"/>
  <c r="Q53" i="4"/>
  <c r="M53" i="4"/>
  <c r="R53" i="4" s="1"/>
  <c r="Q45" i="4"/>
  <c r="M45" i="4"/>
  <c r="R45" i="4" s="1"/>
  <c r="Q50" i="4"/>
  <c r="M50" i="4"/>
  <c r="R50" i="4" s="1"/>
  <c r="Q47" i="4"/>
  <c r="M47" i="4"/>
  <c r="R47" i="4" s="1"/>
  <c r="Q64" i="4"/>
  <c r="M64" i="4"/>
  <c r="R64" i="4" s="1"/>
  <c r="M68" i="4"/>
  <c r="R68" i="4" s="1"/>
  <c r="Q68" i="4"/>
  <c r="Q56" i="4"/>
  <c r="M56" i="4"/>
  <c r="R56" i="4" s="1"/>
  <c r="L81" i="4"/>
  <c r="L77" i="4"/>
  <c r="L86" i="4"/>
  <c r="L79" i="4"/>
  <c r="L73" i="4"/>
  <c r="L88" i="4"/>
  <c r="L75" i="4"/>
  <c r="L84" i="4"/>
  <c r="L82" i="4"/>
  <c r="L80" i="4"/>
  <c r="L74" i="4"/>
  <c r="M72" i="4"/>
  <c r="R72" i="4" s="1"/>
  <c r="L78" i="4"/>
  <c r="L76" i="4"/>
  <c r="Q72" i="4"/>
  <c r="L87" i="4"/>
  <c r="L85" i="4"/>
  <c r="L83" i="4"/>
  <c r="Q69" i="4"/>
  <c r="M69" i="4"/>
  <c r="R69" i="4" s="1"/>
  <c r="Q71" i="4"/>
  <c r="M71" i="4"/>
  <c r="R71" i="4" s="1"/>
  <c r="M57" i="4"/>
  <c r="R57" i="4" s="1"/>
  <c r="Q57" i="4"/>
  <c r="M60" i="4"/>
  <c r="R60" i="4" s="1"/>
  <c r="Q60" i="4"/>
  <c r="Q80" i="4" l="1"/>
  <c r="M80" i="4"/>
  <c r="R80" i="4" s="1"/>
  <c r="M85" i="4"/>
  <c r="R85" i="4" s="1"/>
  <c r="Q85" i="4"/>
  <c r="Q87" i="4"/>
  <c r="M87" i="4"/>
  <c r="R87" i="4" s="1"/>
  <c r="Q76" i="4"/>
  <c r="M76" i="4"/>
  <c r="R76" i="4" s="1"/>
  <c r="M84" i="4"/>
  <c r="R84" i="4" s="1"/>
  <c r="Q84" i="4"/>
  <c r="Q75" i="4"/>
  <c r="M75" i="4"/>
  <c r="R75" i="4" s="1"/>
  <c r="Q83" i="4"/>
  <c r="M83" i="4"/>
  <c r="R83" i="4" s="1"/>
  <c r="Q74" i="4"/>
  <c r="M74" i="4"/>
  <c r="R74" i="4" s="1"/>
  <c r="Q88" i="4"/>
  <c r="M88" i="4"/>
  <c r="R88" i="4" s="1"/>
  <c r="Q86" i="4"/>
  <c r="M86" i="4"/>
  <c r="R86" i="4" s="1"/>
  <c r="M81" i="4"/>
  <c r="R81" i="4" s="1"/>
  <c r="Q81" i="4"/>
  <c r="Q78" i="4"/>
  <c r="M78" i="4"/>
  <c r="R78" i="4" s="1"/>
  <c r="M73" i="4"/>
  <c r="R73" i="4" s="1"/>
  <c r="Q73" i="4"/>
  <c r="Q82" i="4"/>
  <c r="M82" i="4"/>
  <c r="R82" i="4" s="1"/>
  <c r="M79" i="4"/>
  <c r="R79" i="4" s="1"/>
  <c r="Q79" i="4"/>
  <c r="Q77" i="4"/>
  <c r="M77" i="4"/>
  <c r="R77" i="4" s="1"/>
  <c r="B88" i="3" l="1"/>
  <c r="H88" i="3" s="1"/>
  <c r="K88" i="3" s="1"/>
  <c r="B87" i="3"/>
  <c r="F87" i="3" s="1"/>
  <c r="B86" i="3"/>
  <c r="H86" i="3" s="1"/>
  <c r="K86" i="3" s="1"/>
  <c r="B85" i="3"/>
  <c r="H85" i="3" s="1"/>
  <c r="K85" i="3" s="1"/>
  <c r="B84" i="3"/>
  <c r="H84" i="3" s="1"/>
  <c r="K84" i="3" s="1"/>
  <c r="B83" i="3"/>
  <c r="H83" i="3" s="1"/>
  <c r="K83" i="3" s="1"/>
  <c r="B82" i="3"/>
  <c r="H82" i="3" s="1"/>
  <c r="K82" i="3" s="1"/>
  <c r="B81" i="3"/>
  <c r="G81" i="3" s="1"/>
  <c r="J81" i="3" s="1"/>
  <c r="B80" i="3"/>
  <c r="H80" i="3" s="1"/>
  <c r="K80" i="3" s="1"/>
  <c r="B79" i="3"/>
  <c r="H79" i="3" s="1"/>
  <c r="K79" i="3" s="1"/>
  <c r="H78" i="3"/>
  <c r="K78" i="3" s="1"/>
  <c r="G78" i="3"/>
  <c r="J78" i="3" s="1"/>
  <c r="F78" i="3"/>
  <c r="I78" i="3" s="1"/>
  <c r="P78" i="3" s="1"/>
  <c r="B78" i="3"/>
  <c r="B77" i="3"/>
  <c r="G77" i="3" s="1"/>
  <c r="J77" i="3" s="1"/>
  <c r="B76" i="3"/>
  <c r="H76" i="3" s="1"/>
  <c r="K76" i="3" s="1"/>
  <c r="B75" i="3"/>
  <c r="H75" i="3" s="1"/>
  <c r="K75" i="3" s="1"/>
  <c r="B74" i="3"/>
  <c r="G74" i="3" s="1"/>
  <c r="J74" i="3" s="1"/>
  <c r="B73" i="3"/>
  <c r="H73" i="3" s="1"/>
  <c r="K73" i="3" s="1"/>
  <c r="B72" i="3"/>
  <c r="H72" i="3" s="1"/>
  <c r="K72" i="3" s="1"/>
  <c r="B71" i="3"/>
  <c r="H71" i="3" s="1"/>
  <c r="K71" i="3" s="1"/>
  <c r="B70" i="3"/>
  <c r="F70" i="3" s="1"/>
  <c r="B69" i="3"/>
  <c r="F69" i="3" s="1"/>
  <c r="B68" i="3"/>
  <c r="H68" i="3" s="1"/>
  <c r="B67" i="3"/>
  <c r="G67" i="3" s="1"/>
  <c r="J67" i="3" s="1"/>
  <c r="G66" i="3"/>
  <c r="J66" i="3" s="1"/>
  <c r="B66" i="3"/>
  <c r="F66" i="3" s="1"/>
  <c r="B65" i="3"/>
  <c r="G65" i="3" s="1"/>
  <c r="J65" i="3" s="1"/>
  <c r="B64" i="3"/>
  <c r="H64" i="3" s="1"/>
  <c r="K64" i="3" s="1"/>
  <c r="B63" i="3"/>
  <c r="F63" i="3" s="1"/>
  <c r="B62" i="3"/>
  <c r="H62" i="3" s="1"/>
  <c r="K62" i="3" s="1"/>
  <c r="B61" i="3"/>
  <c r="H61" i="3" s="1"/>
  <c r="K61" i="3" s="1"/>
  <c r="B60" i="3"/>
  <c r="H60" i="3" s="1"/>
  <c r="K60" i="3" s="1"/>
  <c r="B59" i="3"/>
  <c r="H59" i="3" s="1"/>
  <c r="K59" i="3" s="1"/>
  <c r="B58" i="3"/>
  <c r="H58" i="3" s="1"/>
  <c r="K58" i="3" s="1"/>
  <c r="B57" i="3"/>
  <c r="H57" i="3" s="1"/>
  <c r="K57" i="3" s="1"/>
  <c r="F56" i="3"/>
  <c r="B56" i="3"/>
  <c r="H56" i="3" s="1"/>
  <c r="K56" i="3" s="1"/>
  <c r="B55" i="3"/>
  <c r="H55" i="3" s="1"/>
  <c r="K55" i="3" s="1"/>
  <c r="F54" i="3"/>
  <c r="B54" i="3"/>
  <c r="H54" i="3" s="1"/>
  <c r="K54" i="3" s="1"/>
  <c r="F53" i="3"/>
  <c r="I53" i="3" s="1"/>
  <c r="B53" i="3"/>
  <c r="G53" i="3" s="1"/>
  <c r="J53" i="3" s="1"/>
  <c r="H52" i="3"/>
  <c r="K52" i="3" s="1"/>
  <c r="G52" i="3"/>
  <c r="J52" i="3" s="1"/>
  <c r="B52" i="3"/>
  <c r="F52" i="3" s="1"/>
  <c r="O52" i="3" s="1"/>
  <c r="B51" i="3"/>
  <c r="F51" i="3" s="1"/>
  <c r="B50" i="3"/>
  <c r="G50" i="3" s="1"/>
  <c r="J50" i="3" s="1"/>
  <c r="B49" i="3"/>
  <c r="H49" i="3" s="1"/>
  <c r="K49" i="3" s="1"/>
  <c r="B48" i="3"/>
  <c r="H48" i="3" s="1"/>
  <c r="K48" i="3" s="1"/>
  <c r="B47" i="3"/>
  <c r="G47" i="3" s="1"/>
  <c r="J47" i="3" s="1"/>
  <c r="B46" i="3"/>
  <c r="F46" i="3" s="1"/>
  <c r="B45" i="3"/>
  <c r="G45" i="3" s="1"/>
  <c r="J45" i="3" s="1"/>
  <c r="B44" i="3"/>
  <c r="H44" i="3" s="1"/>
  <c r="K44" i="3" s="1"/>
  <c r="B43" i="3"/>
  <c r="H43" i="3" s="1"/>
  <c r="K43" i="3" s="1"/>
  <c r="B42" i="3"/>
  <c r="F42" i="3" s="1"/>
  <c r="B41" i="3"/>
  <c r="G41" i="3" s="1"/>
  <c r="J41" i="3" s="1"/>
  <c r="B40" i="3"/>
  <c r="H40" i="3" s="1"/>
  <c r="K40" i="3" s="1"/>
  <c r="B39" i="3"/>
  <c r="F39" i="3" s="1"/>
  <c r="B38" i="3"/>
  <c r="H38" i="3" s="1"/>
  <c r="K38" i="3" s="1"/>
  <c r="B37" i="3"/>
  <c r="H37" i="3" s="1"/>
  <c r="K37" i="3" s="1"/>
  <c r="B36" i="3"/>
  <c r="F36" i="3" s="1"/>
  <c r="B35" i="3"/>
  <c r="H35" i="3" s="1"/>
  <c r="K35" i="3" s="1"/>
  <c r="B34" i="3"/>
  <c r="F34" i="3" s="1"/>
  <c r="B33" i="3"/>
  <c r="F33" i="3" s="1"/>
  <c r="B32" i="3"/>
  <c r="G32" i="3" s="1"/>
  <c r="J32" i="3" s="1"/>
  <c r="B31" i="3"/>
  <c r="H31" i="3" s="1"/>
  <c r="K31" i="3" s="1"/>
  <c r="B30" i="3"/>
  <c r="H30" i="3" s="1"/>
  <c r="K30" i="3" s="1"/>
  <c r="B29" i="3"/>
  <c r="G29" i="3" s="1"/>
  <c r="J29" i="3" s="1"/>
  <c r="F28" i="3"/>
  <c r="I28" i="3" s="1"/>
  <c r="B28" i="3"/>
  <c r="H28" i="3" s="1"/>
  <c r="K28" i="3" s="1"/>
  <c r="B27" i="3"/>
  <c r="H27" i="3" s="1"/>
  <c r="K27" i="3" s="1"/>
  <c r="H26" i="3"/>
  <c r="K26" i="3" s="1"/>
  <c r="B26" i="3"/>
  <c r="G26" i="3" s="1"/>
  <c r="J26" i="3" s="1"/>
  <c r="B25" i="3"/>
  <c r="H25" i="3" s="1"/>
  <c r="K25" i="3" s="1"/>
  <c r="G24" i="3"/>
  <c r="J24" i="3" s="1"/>
  <c r="B24" i="3"/>
  <c r="H24" i="3" s="1"/>
  <c r="K24" i="3" s="1"/>
  <c r="B23" i="3"/>
  <c r="F23" i="3" s="1"/>
  <c r="B22" i="3"/>
  <c r="H22" i="3" s="1"/>
  <c r="K22" i="3" s="1"/>
  <c r="B21" i="3"/>
  <c r="F21" i="3" s="1"/>
  <c r="B20" i="3"/>
  <c r="G20" i="3" s="1"/>
  <c r="J20" i="3" s="1"/>
  <c r="B19" i="3"/>
  <c r="F19" i="3" s="1"/>
  <c r="B18" i="3"/>
  <c r="F18" i="3" s="1"/>
  <c r="B17" i="3"/>
  <c r="H17" i="3" s="1"/>
  <c r="K17" i="3" s="1"/>
  <c r="B16" i="3"/>
  <c r="H16" i="3" s="1"/>
  <c r="K16" i="3" s="1"/>
  <c r="H15" i="3"/>
  <c r="K15" i="3" s="1"/>
  <c r="G15" i="3"/>
  <c r="J15" i="3" s="1"/>
  <c r="B15" i="3"/>
  <c r="F15" i="3" s="1"/>
  <c r="B14" i="3"/>
  <c r="G14" i="3" s="1"/>
  <c r="J14" i="3" s="1"/>
  <c r="B13" i="3"/>
  <c r="H13" i="3" s="1"/>
  <c r="K13" i="3" s="1"/>
  <c r="B12" i="3"/>
  <c r="H12" i="3" s="1"/>
  <c r="K12" i="3" s="1"/>
  <c r="B11" i="3"/>
  <c r="H11" i="3" s="1"/>
  <c r="K11" i="3" s="1"/>
  <c r="B10" i="3"/>
  <c r="G10" i="3" s="1"/>
  <c r="J10" i="3" s="1"/>
  <c r="H9" i="3"/>
  <c r="K9" i="3" s="1"/>
  <c r="G9" i="3"/>
  <c r="J9" i="3" s="1"/>
  <c r="F9" i="3"/>
  <c r="G63" i="3" l="1"/>
  <c r="J63" i="3" s="1"/>
  <c r="H77" i="3"/>
  <c r="K77" i="3" s="1"/>
  <c r="H63" i="3"/>
  <c r="K63" i="3" s="1"/>
  <c r="F37" i="3"/>
  <c r="I37" i="3" s="1"/>
  <c r="L9" i="3"/>
  <c r="L31" i="3" s="1"/>
  <c r="G39" i="3"/>
  <c r="J39" i="3" s="1"/>
  <c r="H53" i="3"/>
  <c r="K53" i="3" s="1"/>
  <c r="H66" i="3"/>
  <c r="K66" i="3" s="1"/>
  <c r="F79" i="3"/>
  <c r="I79" i="3" s="1"/>
  <c r="H39" i="3"/>
  <c r="K39" i="3" s="1"/>
  <c r="G79" i="3"/>
  <c r="J79" i="3" s="1"/>
  <c r="G28" i="3"/>
  <c r="J28" i="3" s="1"/>
  <c r="P28" i="3" s="1"/>
  <c r="G54" i="3"/>
  <c r="J54" i="3" s="1"/>
  <c r="F68" i="3"/>
  <c r="I68" i="3" s="1"/>
  <c r="G68" i="3"/>
  <c r="J68" i="3" s="1"/>
  <c r="G42" i="3"/>
  <c r="J42" i="3" s="1"/>
  <c r="F80" i="3"/>
  <c r="I80" i="3" s="1"/>
  <c r="P80" i="3" s="1"/>
  <c r="F29" i="3"/>
  <c r="I29" i="3" s="1"/>
  <c r="P29" i="3" s="1"/>
  <c r="H42" i="3"/>
  <c r="K42" i="3" s="1"/>
  <c r="F55" i="3"/>
  <c r="I55" i="3" s="1"/>
  <c r="P55" i="3" s="1"/>
  <c r="G80" i="3"/>
  <c r="J80" i="3" s="1"/>
  <c r="H29" i="3"/>
  <c r="K29" i="3" s="1"/>
  <c r="G55" i="3"/>
  <c r="J55" i="3" s="1"/>
  <c r="F30" i="3"/>
  <c r="I30" i="3" s="1"/>
  <c r="F44" i="3"/>
  <c r="I44" i="3" s="1"/>
  <c r="G30" i="3"/>
  <c r="J30" i="3" s="1"/>
  <c r="P30" i="3" s="1"/>
  <c r="H74" i="3"/>
  <c r="K74" i="3" s="1"/>
  <c r="G18" i="3"/>
  <c r="J18" i="3" s="1"/>
  <c r="F31" i="3"/>
  <c r="H18" i="3"/>
  <c r="K18" i="3" s="1"/>
  <c r="G31" i="3"/>
  <c r="J31" i="3" s="1"/>
  <c r="F76" i="3"/>
  <c r="G87" i="3"/>
  <c r="J87" i="3" s="1"/>
  <c r="G76" i="3"/>
  <c r="J76" i="3" s="1"/>
  <c r="H87" i="3"/>
  <c r="K87" i="3" s="1"/>
  <c r="H50" i="3"/>
  <c r="K50" i="3" s="1"/>
  <c r="O79" i="3"/>
  <c r="P79" i="3"/>
  <c r="O54" i="3"/>
  <c r="O31" i="3"/>
  <c r="O9" i="3"/>
  <c r="I15" i="3"/>
  <c r="P15" i="3" s="1"/>
  <c r="O15" i="3"/>
  <c r="I69" i="3"/>
  <c r="I70" i="3"/>
  <c r="I18" i="3"/>
  <c r="I34" i="3"/>
  <c r="K68" i="3"/>
  <c r="I66" i="3"/>
  <c r="P66" i="3" s="1"/>
  <c r="O66" i="3"/>
  <c r="O53" i="3"/>
  <c r="I42" i="3"/>
  <c r="I19" i="3"/>
  <c r="I46" i="3"/>
  <c r="I23" i="3"/>
  <c r="P53" i="3"/>
  <c r="I21" i="3"/>
  <c r="L33" i="3"/>
  <c r="L16" i="3"/>
  <c r="L27" i="3"/>
  <c r="Q9" i="3"/>
  <c r="L20" i="3"/>
  <c r="L40" i="3"/>
  <c r="L14" i="3"/>
  <c r="M9" i="3"/>
  <c r="R9" i="3" s="1"/>
  <c r="L29" i="3"/>
  <c r="L38" i="3"/>
  <c r="L17" i="3"/>
  <c r="L37" i="3"/>
  <c r="L25" i="3"/>
  <c r="L36" i="3"/>
  <c r="L12" i="3"/>
  <c r="L32" i="3"/>
  <c r="L23" i="3"/>
  <c r="L34" i="3"/>
  <c r="L10" i="3"/>
  <c r="L19" i="3"/>
  <c r="L13" i="3"/>
  <c r="L21" i="3"/>
  <c r="L22" i="3"/>
  <c r="L30" i="3"/>
  <c r="L28" i="3"/>
  <c r="L26" i="3"/>
  <c r="L39" i="3"/>
  <c r="L11" i="3"/>
  <c r="I36" i="3"/>
  <c r="I51" i="3"/>
  <c r="I87" i="3"/>
  <c r="I63" i="3"/>
  <c r="P63" i="3" s="1"/>
  <c r="O63" i="3"/>
  <c r="I33" i="3"/>
  <c r="I39" i="3"/>
  <c r="P39" i="3" s="1"/>
  <c r="O39" i="3"/>
  <c r="F17" i="3"/>
  <c r="F41" i="3"/>
  <c r="F65" i="3"/>
  <c r="F43" i="3"/>
  <c r="I52" i="3"/>
  <c r="P52" i="3" s="1"/>
  <c r="H65" i="3"/>
  <c r="K65" i="3" s="1"/>
  <c r="F67" i="3"/>
  <c r="I76" i="3"/>
  <c r="P76" i="3" s="1"/>
  <c r="G17" i="3"/>
  <c r="J17" i="3" s="1"/>
  <c r="G19" i="3"/>
  <c r="J19" i="3" s="1"/>
  <c r="G56" i="3"/>
  <c r="J56" i="3" s="1"/>
  <c r="F58" i="3"/>
  <c r="G69" i="3"/>
  <c r="J69" i="3" s="1"/>
  <c r="F82" i="3"/>
  <c r="F47" i="3"/>
  <c r="I56" i="3"/>
  <c r="G58" i="3"/>
  <c r="J58" i="3" s="1"/>
  <c r="H69" i="3"/>
  <c r="K69" i="3" s="1"/>
  <c r="F71" i="3"/>
  <c r="G82" i="3"/>
  <c r="J82" i="3" s="1"/>
  <c r="I54" i="3"/>
  <c r="G23" i="3"/>
  <c r="J23" i="3" s="1"/>
  <c r="F60" i="3"/>
  <c r="G71" i="3"/>
  <c r="J71" i="3" s="1"/>
  <c r="F84" i="3"/>
  <c r="F45" i="3"/>
  <c r="H21" i="3"/>
  <c r="K21" i="3" s="1"/>
  <c r="H10" i="3"/>
  <c r="K10" i="3" s="1"/>
  <c r="G12" i="3"/>
  <c r="J12" i="3" s="1"/>
  <c r="H23" i="3"/>
  <c r="K23" i="3" s="1"/>
  <c r="H47" i="3"/>
  <c r="K47" i="3" s="1"/>
  <c r="G60" i="3"/>
  <c r="J60" i="3" s="1"/>
  <c r="F73" i="3"/>
  <c r="G84" i="3"/>
  <c r="J84" i="3" s="1"/>
  <c r="F10" i="3"/>
  <c r="H45" i="3"/>
  <c r="K45" i="3" s="1"/>
  <c r="F12" i="3"/>
  <c r="H34" i="3"/>
  <c r="K34" i="3" s="1"/>
  <c r="F25" i="3"/>
  <c r="F49" i="3"/>
  <c r="O30" i="3"/>
  <c r="H36" i="3"/>
  <c r="K36" i="3" s="1"/>
  <c r="F38" i="3"/>
  <c r="G49" i="3"/>
  <c r="J49" i="3" s="1"/>
  <c r="F62" i="3"/>
  <c r="G73" i="3"/>
  <c r="J73" i="3" s="1"/>
  <c r="O78" i="3"/>
  <c r="F86" i="3"/>
  <c r="O28" i="3"/>
  <c r="G36" i="3"/>
  <c r="J36" i="3" s="1"/>
  <c r="G25" i="3"/>
  <c r="J25" i="3" s="1"/>
  <c r="G62" i="3"/>
  <c r="J62" i="3" s="1"/>
  <c r="F75" i="3"/>
  <c r="G86" i="3"/>
  <c r="J86" i="3" s="1"/>
  <c r="G43" i="3"/>
  <c r="J43" i="3" s="1"/>
  <c r="H19" i="3"/>
  <c r="K19" i="3" s="1"/>
  <c r="G21" i="3"/>
  <c r="J21" i="3" s="1"/>
  <c r="F27" i="3"/>
  <c r="G38" i="3"/>
  <c r="J38" i="3" s="1"/>
  <c r="H14" i="3"/>
  <c r="K14" i="3" s="1"/>
  <c r="F16" i="3"/>
  <c r="G27" i="3"/>
  <c r="J27" i="3" s="1"/>
  <c r="F40" i="3"/>
  <c r="G51" i="3"/>
  <c r="J51" i="3" s="1"/>
  <c r="F64" i="3"/>
  <c r="G75" i="3"/>
  <c r="J75" i="3" s="1"/>
  <c r="F88" i="3"/>
  <c r="F14" i="3"/>
  <c r="G40" i="3"/>
  <c r="J40" i="3" s="1"/>
  <c r="H51" i="3"/>
  <c r="K51" i="3" s="1"/>
  <c r="G64" i="3"/>
  <c r="J64" i="3" s="1"/>
  <c r="F77" i="3"/>
  <c r="G88" i="3"/>
  <c r="J88" i="3" s="1"/>
  <c r="G16" i="3"/>
  <c r="J16" i="3" s="1"/>
  <c r="H41" i="3"/>
  <c r="K41" i="3" s="1"/>
  <c r="F32" i="3"/>
  <c r="H67" i="3"/>
  <c r="K67" i="3" s="1"/>
  <c r="F57" i="3"/>
  <c r="F81" i="3"/>
  <c r="H32" i="3"/>
  <c r="K32" i="3" s="1"/>
  <c r="G57" i="3"/>
  <c r="J57" i="3" s="1"/>
  <c r="F22" i="3"/>
  <c r="G33" i="3"/>
  <c r="J33" i="3" s="1"/>
  <c r="F11" i="3"/>
  <c r="G22" i="3"/>
  <c r="J22" i="3" s="1"/>
  <c r="H33" i="3"/>
  <c r="K33" i="3" s="1"/>
  <c r="F35" i="3"/>
  <c r="G46" i="3"/>
  <c r="J46" i="3" s="1"/>
  <c r="F59" i="3"/>
  <c r="G70" i="3"/>
  <c r="J70" i="3" s="1"/>
  <c r="H81" i="3"/>
  <c r="K81" i="3" s="1"/>
  <c r="F83" i="3"/>
  <c r="G44" i="3"/>
  <c r="I9" i="3"/>
  <c r="P9" i="3" s="1"/>
  <c r="G11" i="3"/>
  <c r="J11" i="3" s="1"/>
  <c r="F24" i="3"/>
  <c r="G35" i="3"/>
  <c r="J35" i="3" s="1"/>
  <c r="H46" i="3"/>
  <c r="K46" i="3" s="1"/>
  <c r="F48" i="3"/>
  <c r="G59" i="3"/>
  <c r="J59" i="3" s="1"/>
  <c r="H70" i="3"/>
  <c r="K70" i="3" s="1"/>
  <c r="F72" i="3"/>
  <c r="G83" i="3"/>
  <c r="J83" i="3" s="1"/>
  <c r="H20" i="3"/>
  <c r="K20" i="3" s="1"/>
  <c r="F13" i="3"/>
  <c r="G48" i="3"/>
  <c r="J48" i="3" s="1"/>
  <c r="F61" i="3"/>
  <c r="G72" i="3"/>
  <c r="J72" i="3" s="1"/>
  <c r="F85" i="3"/>
  <c r="G34" i="3"/>
  <c r="J34" i="3" s="1"/>
  <c r="G13" i="3"/>
  <c r="J13" i="3" s="1"/>
  <c r="F26" i="3"/>
  <c r="G37" i="3"/>
  <c r="F50" i="3"/>
  <c r="G61" i="3"/>
  <c r="J61" i="3" s="1"/>
  <c r="F74" i="3"/>
  <c r="G85" i="3"/>
  <c r="J85" i="3" s="1"/>
  <c r="F20" i="3"/>
  <c r="I31" i="3"/>
  <c r="P31" i="3" s="1"/>
  <c r="O29" i="3" l="1"/>
  <c r="O55" i="3"/>
  <c r="O42" i="3"/>
  <c r="O76" i="3"/>
  <c r="O87" i="3"/>
  <c r="O68" i="3"/>
  <c r="P54" i="3"/>
  <c r="P87" i="3"/>
  <c r="P68" i="3"/>
  <c r="O80" i="3"/>
  <c r="O19" i="3"/>
  <c r="P56" i="3"/>
  <c r="P18" i="3"/>
  <c r="P42" i="3"/>
  <c r="L18" i="3"/>
  <c r="M18" i="3" s="1"/>
  <c r="R18" i="3" s="1"/>
  <c r="O18" i="3"/>
  <c r="L15" i="3"/>
  <c r="Q15" i="3" s="1"/>
  <c r="L35" i="3"/>
  <c r="M35" i="3" s="1"/>
  <c r="R35" i="3" s="1"/>
  <c r="L24" i="3"/>
  <c r="P36" i="3"/>
  <c r="O36" i="3"/>
  <c r="I85" i="3"/>
  <c r="P85" i="3" s="1"/>
  <c r="O85" i="3"/>
  <c r="P34" i="3"/>
  <c r="Q29" i="3"/>
  <c r="M29" i="3"/>
  <c r="R29" i="3" s="1"/>
  <c r="O27" i="3"/>
  <c r="I27" i="3"/>
  <c r="P27" i="3" s="1"/>
  <c r="M31" i="3"/>
  <c r="R31" i="3" s="1"/>
  <c r="Q31" i="3"/>
  <c r="I16" i="3"/>
  <c r="P16" i="3" s="1"/>
  <c r="O16" i="3"/>
  <c r="M20" i="3"/>
  <c r="R20" i="3" s="1"/>
  <c r="Q20" i="3"/>
  <c r="M25" i="3"/>
  <c r="R25" i="3" s="1"/>
  <c r="Q25" i="3"/>
  <c r="O82" i="3"/>
  <c r="I82" i="3"/>
  <c r="P82" i="3" s="1"/>
  <c r="O61" i="3"/>
  <c r="I61" i="3"/>
  <c r="P61" i="3" s="1"/>
  <c r="I22" i="3"/>
  <c r="P22" i="3" s="1"/>
  <c r="O22" i="3"/>
  <c r="L57" i="3"/>
  <c r="L64" i="3"/>
  <c r="L51" i="3"/>
  <c r="L68" i="3"/>
  <c r="L44" i="3"/>
  <c r="Q40" i="3"/>
  <c r="L62" i="3"/>
  <c r="L55" i="3"/>
  <c r="L66" i="3"/>
  <c r="L42" i="3"/>
  <c r="L50" i="3"/>
  <c r="L72" i="3"/>
  <c r="L53" i="3"/>
  <c r="M40" i="3"/>
  <c r="R40" i="3" s="1"/>
  <c r="L49" i="3"/>
  <c r="L70" i="3"/>
  <c r="L60" i="3"/>
  <c r="L71" i="3"/>
  <c r="L47" i="3"/>
  <c r="L45" i="3"/>
  <c r="L58" i="3"/>
  <c r="L43" i="3"/>
  <c r="L69" i="3"/>
  <c r="L56" i="3"/>
  <c r="L67" i="3"/>
  <c r="L54" i="3"/>
  <c r="L63" i="3"/>
  <c r="L65" i="3"/>
  <c r="L41" i="3"/>
  <c r="L52" i="3"/>
  <c r="L46" i="3"/>
  <c r="L61" i="3"/>
  <c r="L48" i="3"/>
  <c r="L59" i="3"/>
  <c r="M28" i="3"/>
  <c r="R28" i="3" s="1"/>
  <c r="Q28" i="3"/>
  <c r="O73" i="3"/>
  <c r="I73" i="3"/>
  <c r="P73" i="3" s="1"/>
  <c r="Q30" i="3"/>
  <c r="M30" i="3"/>
  <c r="R30" i="3" s="1"/>
  <c r="Q27" i="3"/>
  <c r="M27" i="3"/>
  <c r="R27" i="3" s="1"/>
  <c r="O25" i="3"/>
  <c r="I25" i="3"/>
  <c r="P25" i="3" s="1"/>
  <c r="P51" i="3"/>
  <c r="I13" i="3"/>
  <c r="P13" i="3" s="1"/>
  <c r="O13" i="3"/>
  <c r="I81" i="3"/>
  <c r="P81" i="3" s="1"/>
  <c r="O81" i="3"/>
  <c r="O45" i="3"/>
  <c r="I45" i="3"/>
  <c r="P45" i="3" s="1"/>
  <c r="I65" i="3"/>
  <c r="P65" i="3" s="1"/>
  <c r="O65" i="3"/>
  <c r="Q22" i="3"/>
  <c r="M22" i="3"/>
  <c r="R22" i="3" s="1"/>
  <c r="Q16" i="3"/>
  <c r="M16" i="3"/>
  <c r="R16" i="3" s="1"/>
  <c r="O70" i="3"/>
  <c r="O40" i="3"/>
  <c r="I40" i="3"/>
  <c r="P40" i="3" s="1"/>
  <c r="Q26" i="3"/>
  <c r="M26" i="3"/>
  <c r="R26" i="3" s="1"/>
  <c r="O84" i="3"/>
  <c r="I84" i="3"/>
  <c r="P84" i="3" s="1"/>
  <c r="I41" i="3"/>
  <c r="P41" i="3" s="1"/>
  <c r="O41" i="3"/>
  <c r="Q21" i="3"/>
  <c r="M21" i="3"/>
  <c r="R21" i="3" s="1"/>
  <c r="M33" i="3"/>
  <c r="R33" i="3" s="1"/>
  <c r="Q33" i="3"/>
  <c r="P70" i="3"/>
  <c r="M38" i="3"/>
  <c r="R38" i="3" s="1"/>
  <c r="Q38" i="3"/>
  <c r="Q24" i="3"/>
  <c r="M24" i="3"/>
  <c r="R24" i="3" s="1"/>
  <c r="I24" i="3"/>
  <c r="P24" i="3" s="1"/>
  <c r="O24" i="3"/>
  <c r="O77" i="3"/>
  <c r="I77" i="3"/>
  <c r="P77" i="3" s="1"/>
  <c r="O86" i="3"/>
  <c r="I86" i="3"/>
  <c r="P86" i="3" s="1"/>
  <c r="O17" i="3"/>
  <c r="I17" i="3"/>
  <c r="P17" i="3" s="1"/>
  <c r="M13" i="3"/>
  <c r="R13" i="3" s="1"/>
  <c r="Q13" i="3"/>
  <c r="P21" i="3"/>
  <c r="I20" i="3"/>
  <c r="P20" i="3" s="1"/>
  <c r="O20" i="3"/>
  <c r="Q19" i="3"/>
  <c r="M19" i="3"/>
  <c r="R19" i="3" s="1"/>
  <c r="O21" i="3"/>
  <c r="O56" i="3"/>
  <c r="Q10" i="3"/>
  <c r="M10" i="3"/>
  <c r="R10" i="3" s="1"/>
  <c r="P69" i="3"/>
  <c r="M37" i="3"/>
  <c r="R37" i="3" s="1"/>
  <c r="Q37" i="3"/>
  <c r="O58" i="3"/>
  <c r="I58" i="3"/>
  <c r="P58" i="3" s="1"/>
  <c r="Q35" i="3"/>
  <c r="O74" i="3"/>
  <c r="I74" i="3"/>
  <c r="P74" i="3" s="1"/>
  <c r="O33" i="3"/>
  <c r="Q34" i="3"/>
  <c r="M34" i="3"/>
  <c r="R34" i="3" s="1"/>
  <c r="P23" i="3"/>
  <c r="O69" i="3"/>
  <c r="O49" i="3"/>
  <c r="I49" i="3"/>
  <c r="P49" i="3" s="1"/>
  <c r="Q17" i="3"/>
  <c r="M17" i="3"/>
  <c r="R17" i="3" s="1"/>
  <c r="Q39" i="3"/>
  <c r="M39" i="3"/>
  <c r="R39" i="3" s="1"/>
  <c r="O60" i="3"/>
  <c r="I60" i="3"/>
  <c r="P60" i="3" s="1"/>
  <c r="P33" i="3"/>
  <c r="Q23" i="3"/>
  <c r="M23" i="3"/>
  <c r="R23" i="3" s="1"/>
  <c r="O23" i="3"/>
  <c r="O47" i="3"/>
  <c r="I47" i="3"/>
  <c r="P47" i="3" s="1"/>
  <c r="O51" i="3"/>
  <c r="M14" i="3"/>
  <c r="R14" i="3" s="1"/>
  <c r="Q14" i="3"/>
  <c r="O67" i="3"/>
  <c r="I67" i="3"/>
  <c r="P67" i="3" s="1"/>
  <c r="I48" i="3"/>
  <c r="P48" i="3" s="1"/>
  <c r="O48" i="3"/>
  <c r="O88" i="3"/>
  <c r="I88" i="3"/>
  <c r="P88" i="3" s="1"/>
  <c r="Q32" i="3"/>
  <c r="M32" i="3"/>
  <c r="R32" i="3" s="1"/>
  <c r="O46" i="3"/>
  <c r="I11" i="3"/>
  <c r="P11" i="3" s="1"/>
  <c r="O11" i="3"/>
  <c r="O10" i="3"/>
  <c r="I10" i="3"/>
  <c r="P10" i="3" s="1"/>
  <c r="M11" i="3"/>
  <c r="R11" i="3" s="1"/>
  <c r="Q11" i="3"/>
  <c r="O34" i="3"/>
  <c r="I72" i="3"/>
  <c r="P72" i="3" s="1"/>
  <c r="O72" i="3"/>
  <c r="O75" i="3"/>
  <c r="I75" i="3"/>
  <c r="P75" i="3" s="1"/>
  <c r="I83" i="3"/>
  <c r="P83" i="3" s="1"/>
  <c r="O83" i="3"/>
  <c r="O14" i="3"/>
  <c r="I14" i="3"/>
  <c r="P14" i="3" s="1"/>
  <c r="O37" i="3"/>
  <c r="J37" i="3"/>
  <c r="P37" i="3" s="1"/>
  <c r="O71" i="3"/>
  <c r="I71" i="3"/>
  <c r="P71" i="3" s="1"/>
  <c r="M12" i="3"/>
  <c r="R12" i="3" s="1"/>
  <c r="Q12" i="3"/>
  <c r="P46" i="3"/>
  <c r="I35" i="3"/>
  <c r="P35" i="3" s="1"/>
  <c r="O35" i="3"/>
  <c r="O12" i="3"/>
  <c r="I12" i="3"/>
  <c r="P12" i="3" s="1"/>
  <c r="I57" i="3"/>
  <c r="P57" i="3" s="1"/>
  <c r="O57" i="3"/>
  <c r="I32" i="3"/>
  <c r="P32" i="3" s="1"/>
  <c r="O32" i="3"/>
  <c r="I43" i="3"/>
  <c r="P43" i="3" s="1"/>
  <c r="O43" i="3"/>
  <c r="J44" i="3"/>
  <c r="P44" i="3" s="1"/>
  <c r="O44" i="3"/>
  <c r="O62" i="3"/>
  <c r="I62" i="3"/>
  <c r="P62" i="3" s="1"/>
  <c r="O50" i="3"/>
  <c r="I50" i="3"/>
  <c r="P50" i="3" s="1"/>
  <c r="O38" i="3"/>
  <c r="I38" i="3"/>
  <c r="P38" i="3" s="1"/>
  <c r="O26" i="3"/>
  <c r="I26" i="3"/>
  <c r="P26" i="3" s="1"/>
  <c r="I59" i="3"/>
  <c r="P59" i="3" s="1"/>
  <c r="O59" i="3"/>
  <c r="O64" i="3"/>
  <c r="I64" i="3"/>
  <c r="P64" i="3" s="1"/>
  <c r="Q36" i="3"/>
  <c r="M36" i="3"/>
  <c r="R36" i="3" s="1"/>
  <c r="P19" i="3"/>
  <c r="M15" i="3" l="1"/>
  <c r="R15" i="3" s="1"/>
  <c r="Q18" i="3"/>
  <c r="Q56" i="3"/>
  <c r="M56" i="3"/>
  <c r="R56" i="3" s="1"/>
  <c r="M57" i="3"/>
  <c r="R57" i="3" s="1"/>
  <c r="Q57" i="3"/>
  <c r="Q58" i="3"/>
  <c r="M58" i="3"/>
  <c r="R58" i="3" s="1"/>
  <c r="Q53" i="3"/>
  <c r="M53" i="3"/>
  <c r="R53" i="3" s="1"/>
  <c r="Q47" i="3"/>
  <c r="M47" i="3"/>
  <c r="R47" i="3" s="1"/>
  <c r="L81" i="3"/>
  <c r="L79" i="3"/>
  <c r="L77" i="3"/>
  <c r="L88" i="3"/>
  <c r="L75" i="3"/>
  <c r="L74" i="3"/>
  <c r="L86" i="3"/>
  <c r="L73" i="3"/>
  <c r="L84" i="3"/>
  <c r="L82" i="3"/>
  <c r="L80" i="3"/>
  <c r="L78" i="3"/>
  <c r="L76" i="3"/>
  <c r="Q72" i="3"/>
  <c r="L87" i="3"/>
  <c r="L85" i="3"/>
  <c r="M72" i="3"/>
  <c r="R72" i="3" s="1"/>
  <c r="L83" i="3"/>
  <c r="M50" i="3"/>
  <c r="R50" i="3" s="1"/>
  <c r="Q50" i="3"/>
  <c r="Q59" i="3"/>
  <c r="M59" i="3"/>
  <c r="R59" i="3" s="1"/>
  <c r="M42" i="3"/>
  <c r="R42" i="3" s="1"/>
  <c r="Q42" i="3"/>
  <c r="M49" i="3"/>
  <c r="R49" i="3" s="1"/>
  <c r="Q49" i="3"/>
  <c r="Q48" i="3"/>
  <c r="M48" i="3"/>
  <c r="R48" i="3" s="1"/>
  <c r="M66" i="3"/>
  <c r="R66" i="3" s="1"/>
  <c r="Q66" i="3"/>
  <c r="M61" i="3"/>
  <c r="R61" i="3" s="1"/>
  <c r="Q61" i="3"/>
  <c r="M55" i="3"/>
  <c r="R55" i="3" s="1"/>
  <c r="Q55" i="3"/>
  <c r="Q46" i="3"/>
  <c r="M46" i="3"/>
  <c r="R46" i="3" s="1"/>
  <c r="M62" i="3"/>
  <c r="R62" i="3" s="1"/>
  <c r="Q62" i="3"/>
  <c r="Q43" i="3"/>
  <c r="M43" i="3"/>
  <c r="R43" i="3" s="1"/>
  <c r="Q71" i="3"/>
  <c r="M71" i="3"/>
  <c r="R71" i="3" s="1"/>
  <c r="Q52" i="3"/>
  <c r="M52" i="3"/>
  <c r="R52" i="3" s="1"/>
  <c r="Q69" i="3"/>
  <c r="M69" i="3"/>
  <c r="R69" i="3" s="1"/>
  <c r="Q70" i="3"/>
  <c r="M70" i="3"/>
  <c r="R70" i="3" s="1"/>
  <c r="Q41" i="3"/>
  <c r="M41" i="3"/>
  <c r="R41" i="3" s="1"/>
  <c r="M44" i="3"/>
  <c r="R44" i="3" s="1"/>
  <c r="Q44" i="3"/>
  <c r="Q67" i="3"/>
  <c r="M67" i="3"/>
  <c r="R67" i="3" s="1"/>
  <c r="M65" i="3"/>
  <c r="R65" i="3" s="1"/>
  <c r="Q65" i="3"/>
  <c r="M68" i="3"/>
  <c r="R68" i="3" s="1"/>
  <c r="Q68" i="3"/>
  <c r="Q60" i="3"/>
  <c r="M60" i="3"/>
  <c r="R60" i="3" s="1"/>
  <c r="Q63" i="3"/>
  <c r="M63" i="3"/>
  <c r="R63" i="3" s="1"/>
  <c r="Q51" i="3"/>
  <c r="M51" i="3"/>
  <c r="R51" i="3" s="1"/>
  <c r="Q45" i="3"/>
  <c r="M45" i="3"/>
  <c r="R45" i="3" s="1"/>
  <c r="M54" i="3"/>
  <c r="R54" i="3" s="1"/>
  <c r="Q54" i="3"/>
  <c r="Q64" i="3"/>
  <c r="M64" i="3"/>
  <c r="R64" i="3" s="1"/>
  <c r="Q76" i="3" l="1"/>
  <c r="M76" i="3"/>
  <c r="R76" i="3" s="1"/>
  <c r="Q73" i="3"/>
  <c r="M73" i="3"/>
  <c r="R73" i="3" s="1"/>
  <c r="Q78" i="3"/>
  <c r="M78" i="3"/>
  <c r="R78" i="3" s="1"/>
  <c r="Q82" i="3"/>
  <c r="M82" i="3"/>
  <c r="R82" i="3" s="1"/>
  <c r="M74" i="3"/>
  <c r="R74" i="3" s="1"/>
  <c r="Q74" i="3"/>
  <c r="Q80" i="3"/>
  <c r="M80" i="3"/>
  <c r="R80" i="3" s="1"/>
  <c r="Q86" i="3"/>
  <c r="M86" i="3"/>
  <c r="R86" i="3" s="1"/>
  <c r="Q88" i="3"/>
  <c r="M88" i="3"/>
  <c r="R88" i="3" s="1"/>
  <c r="Q83" i="3"/>
  <c r="M83" i="3"/>
  <c r="R83" i="3" s="1"/>
  <c r="M75" i="3"/>
  <c r="R75" i="3" s="1"/>
  <c r="Q75" i="3"/>
  <c r="Q77" i="3"/>
  <c r="M77" i="3"/>
  <c r="R77" i="3" s="1"/>
  <c r="Q84" i="3"/>
  <c r="M84" i="3"/>
  <c r="R84" i="3" s="1"/>
  <c r="M81" i="3"/>
  <c r="R81" i="3" s="1"/>
  <c r="Q81" i="3"/>
  <c r="Q85" i="3"/>
  <c r="M85" i="3"/>
  <c r="R85" i="3" s="1"/>
  <c r="M79" i="3"/>
  <c r="R79" i="3" s="1"/>
  <c r="Q79" i="3"/>
  <c r="Q87" i="3"/>
  <c r="M87" i="3"/>
  <c r="R87" i="3" s="1"/>
  <c r="B88" i="2" l="1"/>
  <c r="H88" i="2" s="1"/>
  <c r="K88" i="2" s="1"/>
  <c r="B87" i="2"/>
  <c r="F87" i="2" s="1"/>
  <c r="B86" i="2"/>
  <c r="H86" i="2" s="1"/>
  <c r="K86" i="2" s="1"/>
  <c r="B85" i="2"/>
  <c r="H85" i="2" s="1"/>
  <c r="K85" i="2" s="1"/>
  <c r="B84" i="2"/>
  <c r="G84" i="2" s="1"/>
  <c r="J84" i="2" s="1"/>
  <c r="B83" i="2"/>
  <c r="G83" i="2" s="1"/>
  <c r="J83" i="2" s="1"/>
  <c r="B82" i="2"/>
  <c r="H82" i="2" s="1"/>
  <c r="K82" i="2" s="1"/>
  <c r="B81" i="2"/>
  <c r="H81" i="2" s="1"/>
  <c r="K81" i="2" s="1"/>
  <c r="G80" i="2"/>
  <c r="J80" i="2" s="1"/>
  <c r="B80" i="2"/>
  <c r="H80" i="2" s="1"/>
  <c r="K80" i="2" s="1"/>
  <c r="B79" i="2"/>
  <c r="F79" i="2" s="1"/>
  <c r="B78" i="2"/>
  <c r="H78" i="2" s="1"/>
  <c r="K78" i="2" s="1"/>
  <c r="F77" i="2"/>
  <c r="B77" i="2"/>
  <c r="H77" i="2" s="1"/>
  <c r="K77" i="2" s="1"/>
  <c r="F76" i="2"/>
  <c r="B76" i="2"/>
  <c r="H76" i="2" s="1"/>
  <c r="K76" i="2" s="1"/>
  <c r="B75" i="2"/>
  <c r="H75" i="2" s="1"/>
  <c r="K75" i="2" s="1"/>
  <c r="B74" i="2"/>
  <c r="G74" i="2" s="1"/>
  <c r="J74" i="2" s="1"/>
  <c r="B73" i="2"/>
  <c r="H73" i="2" s="1"/>
  <c r="K73" i="2" s="1"/>
  <c r="B72" i="2"/>
  <c r="H72" i="2" s="1"/>
  <c r="K72" i="2" s="1"/>
  <c r="B71" i="2"/>
  <c r="H71" i="2" s="1"/>
  <c r="K71" i="2" s="1"/>
  <c r="B70" i="2"/>
  <c r="H70" i="2" s="1"/>
  <c r="K70" i="2" s="1"/>
  <c r="B69" i="2"/>
  <c r="H69" i="2" s="1"/>
  <c r="K69" i="2" s="1"/>
  <c r="B68" i="2"/>
  <c r="H68" i="2" s="1"/>
  <c r="K68" i="2" s="1"/>
  <c r="B67" i="2"/>
  <c r="H67" i="2" s="1"/>
  <c r="K67" i="2" s="1"/>
  <c r="B66" i="2"/>
  <c r="G66" i="2" s="1"/>
  <c r="J66" i="2" s="1"/>
  <c r="B65" i="2"/>
  <c r="G65" i="2" s="1"/>
  <c r="J65" i="2" s="1"/>
  <c r="B64" i="2"/>
  <c r="H64" i="2" s="1"/>
  <c r="K64" i="2" s="1"/>
  <c r="G63" i="2"/>
  <c r="J63" i="2" s="1"/>
  <c r="B63" i="2"/>
  <c r="F63" i="2" s="1"/>
  <c r="B62" i="2"/>
  <c r="H62" i="2" s="1"/>
  <c r="K62" i="2" s="1"/>
  <c r="B61" i="2"/>
  <c r="H61" i="2" s="1"/>
  <c r="K61" i="2" s="1"/>
  <c r="B60" i="2"/>
  <c r="G60" i="2" s="1"/>
  <c r="J60" i="2" s="1"/>
  <c r="B59" i="2"/>
  <c r="G59" i="2" s="1"/>
  <c r="J59" i="2" s="1"/>
  <c r="B58" i="2"/>
  <c r="H58" i="2" s="1"/>
  <c r="K58" i="2" s="1"/>
  <c r="B57" i="2"/>
  <c r="F57" i="2" s="1"/>
  <c r="B56" i="2"/>
  <c r="H56" i="2" s="1"/>
  <c r="K56" i="2" s="1"/>
  <c r="B55" i="2"/>
  <c r="F55" i="2" s="1"/>
  <c r="B54" i="2"/>
  <c r="H54" i="2" s="1"/>
  <c r="K54" i="2" s="1"/>
  <c r="B53" i="2"/>
  <c r="H53" i="2" s="1"/>
  <c r="K53" i="2" s="1"/>
  <c r="H52" i="2"/>
  <c r="K52" i="2" s="1"/>
  <c r="B52" i="2"/>
  <c r="G52" i="2" s="1"/>
  <c r="J52" i="2" s="1"/>
  <c r="B51" i="2"/>
  <c r="H51" i="2" s="1"/>
  <c r="K51" i="2" s="1"/>
  <c r="B50" i="2"/>
  <c r="G50" i="2" s="1"/>
  <c r="J50" i="2" s="1"/>
  <c r="B49" i="2"/>
  <c r="H49" i="2" s="1"/>
  <c r="K49" i="2" s="1"/>
  <c r="B48" i="2"/>
  <c r="H48" i="2" s="1"/>
  <c r="K48" i="2" s="1"/>
  <c r="B47" i="2"/>
  <c r="H47" i="2" s="1"/>
  <c r="K47" i="2" s="1"/>
  <c r="B46" i="2"/>
  <c r="H46" i="2" s="1"/>
  <c r="K46" i="2" s="1"/>
  <c r="B45" i="2"/>
  <c r="H45" i="2" s="1"/>
  <c r="K45" i="2" s="1"/>
  <c r="B44" i="2"/>
  <c r="H44" i="2" s="1"/>
  <c r="K44" i="2" s="1"/>
  <c r="B43" i="2"/>
  <c r="H43" i="2" s="1"/>
  <c r="K43" i="2" s="1"/>
  <c r="B42" i="2"/>
  <c r="G42" i="2" s="1"/>
  <c r="J42" i="2" s="1"/>
  <c r="B41" i="2"/>
  <c r="G41" i="2" s="1"/>
  <c r="J41" i="2" s="1"/>
  <c r="B40" i="2"/>
  <c r="H40" i="2" s="1"/>
  <c r="K40" i="2" s="1"/>
  <c r="B39" i="2"/>
  <c r="F39" i="2" s="1"/>
  <c r="B38" i="2"/>
  <c r="F38" i="2" s="1"/>
  <c r="B37" i="2"/>
  <c r="H37" i="2" s="1"/>
  <c r="K37" i="2" s="1"/>
  <c r="B36" i="2"/>
  <c r="G36" i="2" s="1"/>
  <c r="J36" i="2" s="1"/>
  <c r="B35" i="2"/>
  <c r="G35" i="2" s="1"/>
  <c r="J35" i="2" s="1"/>
  <c r="B34" i="2"/>
  <c r="H34" i="2" s="1"/>
  <c r="K34" i="2" s="1"/>
  <c r="B33" i="2"/>
  <c r="G33" i="2" s="1"/>
  <c r="J33" i="2" s="1"/>
  <c r="B32" i="2"/>
  <c r="H32" i="2" s="1"/>
  <c r="K32" i="2" s="1"/>
  <c r="B31" i="2"/>
  <c r="F31" i="2" s="1"/>
  <c r="B30" i="2"/>
  <c r="H30" i="2" s="1"/>
  <c r="K30" i="2" s="1"/>
  <c r="B29" i="2"/>
  <c r="H29" i="2" s="1"/>
  <c r="K29" i="2" s="1"/>
  <c r="B28" i="2"/>
  <c r="F28" i="2" s="1"/>
  <c r="B27" i="2"/>
  <c r="F27" i="2" s="1"/>
  <c r="B26" i="2"/>
  <c r="G26" i="2" s="1"/>
  <c r="J26" i="2" s="1"/>
  <c r="B25" i="2"/>
  <c r="G25" i="2" s="1"/>
  <c r="J25" i="2" s="1"/>
  <c r="B24" i="2"/>
  <c r="H24" i="2" s="1"/>
  <c r="K24" i="2" s="1"/>
  <c r="G23" i="2"/>
  <c r="J23" i="2" s="1"/>
  <c r="B23" i="2"/>
  <c r="H23" i="2" s="1"/>
  <c r="K23" i="2" s="1"/>
  <c r="B22" i="2"/>
  <c r="F22" i="2" s="1"/>
  <c r="B21" i="2"/>
  <c r="H21" i="2" s="1"/>
  <c r="K21" i="2" s="1"/>
  <c r="G20" i="2"/>
  <c r="J20" i="2" s="1"/>
  <c r="B20" i="2"/>
  <c r="H20" i="2" s="1"/>
  <c r="K20" i="2" s="1"/>
  <c r="B19" i="2"/>
  <c r="H19" i="2" s="1"/>
  <c r="K19" i="2" s="1"/>
  <c r="H18" i="2"/>
  <c r="K18" i="2" s="1"/>
  <c r="B18" i="2"/>
  <c r="G18" i="2" s="1"/>
  <c r="J18" i="2" s="1"/>
  <c r="B17" i="2"/>
  <c r="G17" i="2" s="1"/>
  <c r="J17" i="2" s="1"/>
  <c r="B16" i="2"/>
  <c r="G16" i="2" s="1"/>
  <c r="J16" i="2" s="1"/>
  <c r="B15" i="2"/>
  <c r="F15" i="2" s="1"/>
  <c r="F14" i="2"/>
  <c r="B14" i="2"/>
  <c r="H14" i="2" s="1"/>
  <c r="K14" i="2" s="1"/>
  <c r="B13" i="2"/>
  <c r="H13" i="2" s="1"/>
  <c r="K13" i="2" s="1"/>
  <c r="B12" i="2"/>
  <c r="G12" i="2" s="1"/>
  <c r="J12" i="2" s="1"/>
  <c r="B11" i="2"/>
  <c r="H11" i="2" s="1"/>
  <c r="K11" i="2" s="1"/>
  <c r="B10" i="2"/>
  <c r="H10" i="2" s="1"/>
  <c r="K10" i="2" s="1"/>
  <c r="H9" i="2"/>
  <c r="K9" i="2" s="1"/>
  <c r="G9" i="2"/>
  <c r="J9" i="2" s="1"/>
  <c r="F9" i="2"/>
  <c r="O9" i="2" s="1"/>
  <c r="H9" i="1"/>
  <c r="K9" i="1" s="1"/>
  <c r="G9" i="1"/>
  <c r="J9" i="1" s="1"/>
  <c r="H42" i="2" l="1"/>
  <c r="K42" i="2" s="1"/>
  <c r="H79" i="2"/>
  <c r="K79" i="2" s="1"/>
  <c r="F60" i="2"/>
  <c r="O60" i="2" s="1"/>
  <c r="I77" i="2"/>
  <c r="F78" i="2"/>
  <c r="G79" i="2"/>
  <c r="J79" i="2" s="1"/>
  <c r="G56" i="2"/>
  <c r="J56" i="2" s="1"/>
  <c r="H12" i="2"/>
  <c r="K12" i="2" s="1"/>
  <c r="F72" i="2"/>
  <c r="F84" i="2"/>
  <c r="F30" i="2"/>
  <c r="G47" i="2"/>
  <c r="J47" i="2" s="1"/>
  <c r="H84" i="2"/>
  <c r="K84" i="2" s="1"/>
  <c r="G44" i="2"/>
  <c r="J44" i="2" s="1"/>
  <c r="O14" i="2"/>
  <c r="O79" i="2"/>
  <c r="F62" i="2"/>
  <c r="O62" i="2" s="1"/>
  <c r="H74" i="2"/>
  <c r="K74" i="2" s="1"/>
  <c r="G68" i="2"/>
  <c r="J68" i="2" s="1"/>
  <c r="G71" i="2"/>
  <c r="J71" i="2" s="1"/>
  <c r="G38" i="2"/>
  <c r="J38" i="2" s="1"/>
  <c r="G62" i="2"/>
  <c r="J62" i="2" s="1"/>
  <c r="F86" i="2"/>
  <c r="F54" i="2"/>
  <c r="G55" i="2"/>
  <c r="J55" i="2" s="1"/>
  <c r="G32" i="2"/>
  <c r="J32" i="2" s="1"/>
  <c r="F81" i="2"/>
  <c r="H38" i="2"/>
  <c r="K38" i="2" s="1"/>
  <c r="F52" i="2"/>
  <c r="O52" i="2" s="1"/>
  <c r="F75" i="2"/>
  <c r="G86" i="2"/>
  <c r="J86" i="2" s="1"/>
  <c r="G31" i="2"/>
  <c r="J31" i="2" s="1"/>
  <c r="H55" i="2"/>
  <c r="K55" i="2" s="1"/>
  <c r="F71" i="2"/>
  <c r="F48" i="2"/>
  <c r="H36" i="2"/>
  <c r="K36" i="2" s="1"/>
  <c r="O63" i="2"/>
  <c r="H66" i="2"/>
  <c r="K66" i="2" s="1"/>
  <c r="F20" i="2"/>
  <c r="O76" i="2"/>
  <c r="O87" i="2"/>
  <c r="F68" i="2"/>
  <c r="H31" i="2"/>
  <c r="K31" i="2" s="1"/>
  <c r="F21" i="2"/>
  <c r="F69" i="2"/>
  <c r="F36" i="2"/>
  <c r="H50" i="2"/>
  <c r="K50" i="2" s="1"/>
  <c r="G14" i="2"/>
  <c r="J14" i="2" s="1"/>
  <c r="H28" i="2"/>
  <c r="K28" i="2" s="1"/>
  <c r="F29" i="2"/>
  <c r="H39" i="2"/>
  <c r="K39" i="2" s="1"/>
  <c r="H63" i="2"/>
  <c r="K63" i="2" s="1"/>
  <c r="G76" i="2"/>
  <c r="J76" i="2" s="1"/>
  <c r="G87" i="2"/>
  <c r="J87" i="2" s="1"/>
  <c r="F45" i="2"/>
  <c r="O45" i="2" s="1"/>
  <c r="F12" i="2"/>
  <c r="O12" i="2" s="1"/>
  <c r="G28" i="2"/>
  <c r="J28" i="2" s="1"/>
  <c r="G15" i="2"/>
  <c r="J15" i="2" s="1"/>
  <c r="H15" i="2"/>
  <c r="K15" i="2" s="1"/>
  <c r="G39" i="2"/>
  <c r="J39" i="2" s="1"/>
  <c r="G29" i="2"/>
  <c r="J29" i="2" s="1"/>
  <c r="F53" i="2"/>
  <c r="H87" i="2"/>
  <c r="K87" i="2" s="1"/>
  <c r="F44" i="2"/>
  <c r="F24" i="2"/>
  <c r="H60" i="2"/>
  <c r="K60" i="2" s="1"/>
  <c r="H26" i="2"/>
  <c r="K26" i="2" s="1"/>
  <c r="G53" i="2"/>
  <c r="J53" i="2" s="1"/>
  <c r="L9" i="2"/>
  <c r="L12" i="2" s="1"/>
  <c r="I55" i="2"/>
  <c r="I22" i="2"/>
  <c r="L33" i="2"/>
  <c r="L40" i="2"/>
  <c r="L20" i="2"/>
  <c r="L18" i="2"/>
  <c r="L15" i="2"/>
  <c r="L31" i="2"/>
  <c r="L14" i="2"/>
  <c r="L22" i="2"/>
  <c r="L29" i="2"/>
  <c r="L16" i="2"/>
  <c r="L38" i="2"/>
  <c r="L24" i="2"/>
  <c r="L27" i="2"/>
  <c r="L19" i="2"/>
  <c r="L30" i="2"/>
  <c r="L39" i="2"/>
  <c r="L17" i="2"/>
  <c r="L28" i="2"/>
  <c r="L26" i="2"/>
  <c r="M9" i="2"/>
  <c r="R9" i="2" s="1"/>
  <c r="L37" i="2"/>
  <c r="L13" i="2"/>
  <c r="Q9" i="2"/>
  <c r="L35" i="2"/>
  <c r="L11" i="2"/>
  <c r="I57" i="2"/>
  <c r="I27" i="2"/>
  <c r="I15" i="2"/>
  <c r="I31" i="2"/>
  <c r="I39" i="2"/>
  <c r="I87" i="2"/>
  <c r="I79" i="2"/>
  <c r="P79" i="2" s="1"/>
  <c r="I63" i="2"/>
  <c r="F17" i="2"/>
  <c r="F41" i="2"/>
  <c r="F65" i="2"/>
  <c r="H17" i="2"/>
  <c r="K17" i="2" s="1"/>
  <c r="F19" i="2"/>
  <c r="O19" i="2" s="1"/>
  <c r="I28" i="2"/>
  <c r="G30" i="2"/>
  <c r="J30" i="2" s="1"/>
  <c r="H41" i="2"/>
  <c r="K41" i="2" s="1"/>
  <c r="F43" i="2"/>
  <c r="O43" i="2" s="1"/>
  <c r="I52" i="2"/>
  <c r="P52" i="2" s="1"/>
  <c r="G54" i="2"/>
  <c r="J54" i="2" s="1"/>
  <c r="H65" i="2"/>
  <c r="K65" i="2" s="1"/>
  <c r="F67" i="2"/>
  <c r="O67" i="2" s="1"/>
  <c r="I76" i="2"/>
  <c r="P76" i="2" s="1"/>
  <c r="G78" i="2"/>
  <c r="J78" i="2" s="1"/>
  <c r="G19" i="2"/>
  <c r="J19" i="2" s="1"/>
  <c r="F32" i="2"/>
  <c r="G43" i="2"/>
  <c r="J43" i="2" s="1"/>
  <c r="F56" i="2"/>
  <c r="G67" i="2"/>
  <c r="J67" i="2" s="1"/>
  <c r="F80" i="2"/>
  <c r="O80" i="2" s="1"/>
  <c r="I78" i="2"/>
  <c r="G21" i="2"/>
  <c r="J21" i="2" s="1"/>
  <c r="F34" i="2"/>
  <c r="G45" i="2"/>
  <c r="J45" i="2" s="1"/>
  <c r="F58" i="2"/>
  <c r="G69" i="2"/>
  <c r="J69" i="2" s="1"/>
  <c r="F82" i="2"/>
  <c r="F10" i="2"/>
  <c r="O10" i="2" s="1"/>
  <c r="G10" i="2"/>
  <c r="J10" i="2" s="1"/>
  <c r="F23" i="2"/>
  <c r="O23" i="2" s="1"/>
  <c r="G34" i="2"/>
  <c r="J34" i="2" s="1"/>
  <c r="F47" i="2"/>
  <c r="O47" i="2" s="1"/>
  <c r="G58" i="2"/>
  <c r="J58" i="2" s="1"/>
  <c r="G82" i="2"/>
  <c r="J82" i="2" s="1"/>
  <c r="I45" i="2"/>
  <c r="I69" i="2"/>
  <c r="F25" i="2"/>
  <c r="O25" i="2" s="1"/>
  <c r="F49" i="2"/>
  <c r="F73" i="2"/>
  <c r="G49" i="2"/>
  <c r="J49" i="2" s="1"/>
  <c r="G73" i="2"/>
  <c r="J73" i="2" s="1"/>
  <c r="F51" i="2"/>
  <c r="I60" i="2"/>
  <c r="P60" i="2" s="1"/>
  <c r="H25" i="2"/>
  <c r="K25" i="2" s="1"/>
  <c r="F16" i="2"/>
  <c r="O16" i="2" s="1"/>
  <c r="G27" i="2"/>
  <c r="J27" i="2" s="1"/>
  <c r="F40" i="2"/>
  <c r="G51" i="2"/>
  <c r="J51" i="2" s="1"/>
  <c r="F64" i="2"/>
  <c r="G75" i="2"/>
  <c r="J75" i="2" s="1"/>
  <c r="F88" i="2"/>
  <c r="I36" i="2"/>
  <c r="H27" i="2"/>
  <c r="K27" i="2" s="1"/>
  <c r="I38" i="2"/>
  <c r="P38" i="2" s="1"/>
  <c r="G40" i="2"/>
  <c r="J40" i="2" s="1"/>
  <c r="G64" i="2"/>
  <c r="J64" i="2" s="1"/>
  <c r="I86" i="2"/>
  <c r="P86" i="2" s="1"/>
  <c r="G88" i="2"/>
  <c r="J88" i="2" s="1"/>
  <c r="I14" i="2"/>
  <c r="P14" i="2" s="1"/>
  <c r="H16" i="2"/>
  <c r="K16" i="2" s="1"/>
  <c r="F18" i="2"/>
  <c r="O18" i="2" s="1"/>
  <c r="F42" i="2"/>
  <c r="O42" i="2" s="1"/>
  <c r="F66" i="2"/>
  <c r="G77" i="2"/>
  <c r="J77" i="2" s="1"/>
  <c r="P77" i="2" s="1"/>
  <c r="F46" i="2"/>
  <c r="G57" i="2"/>
  <c r="J57" i="2" s="1"/>
  <c r="F70" i="2"/>
  <c r="G81" i="2"/>
  <c r="J81" i="2" s="1"/>
  <c r="F11" i="2"/>
  <c r="G22" i="2"/>
  <c r="J22" i="2" s="1"/>
  <c r="H33" i="2"/>
  <c r="K33" i="2" s="1"/>
  <c r="F35" i="2"/>
  <c r="O35" i="2" s="1"/>
  <c r="G46" i="2"/>
  <c r="J46" i="2" s="1"/>
  <c r="H57" i="2"/>
  <c r="K57" i="2" s="1"/>
  <c r="F59" i="2"/>
  <c r="O59" i="2" s="1"/>
  <c r="G70" i="2"/>
  <c r="J70" i="2" s="1"/>
  <c r="F83" i="2"/>
  <c r="O83" i="2" s="1"/>
  <c r="F33" i="2"/>
  <c r="O33" i="2" s="1"/>
  <c r="G11" i="2"/>
  <c r="J11" i="2" s="1"/>
  <c r="H22" i="2"/>
  <c r="K22" i="2" s="1"/>
  <c r="G24" i="2"/>
  <c r="J24" i="2" s="1"/>
  <c r="H35" i="2"/>
  <c r="K35" i="2" s="1"/>
  <c r="F37" i="2"/>
  <c r="G48" i="2"/>
  <c r="J48" i="2" s="1"/>
  <c r="H59" i="2"/>
  <c r="K59" i="2" s="1"/>
  <c r="F61" i="2"/>
  <c r="G72" i="2"/>
  <c r="J72" i="2" s="1"/>
  <c r="H83" i="2"/>
  <c r="K83" i="2" s="1"/>
  <c r="F85" i="2"/>
  <c r="I9" i="2"/>
  <c r="P9" i="2" s="1"/>
  <c r="G13" i="2"/>
  <c r="J13" i="2" s="1"/>
  <c r="F26" i="2"/>
  <c r="O26" i="2" s="1"/>
  <c r="G37" i="2"/>
  <c r="J37" i="2" s="1"/>
  <c r="F50" i="2"/>
  <c r="O50" i="2" s="1"/>
  <c r="G61" i="2"/>
  <c r="J61" i="2" s="1"/>
  <c r="F74" i="2"/>
  <c r="G85" i="2"/>
  <c r="J85" i="2" s="1"/>
  <c r="F13" i="2"/>
  <c r="O13" i="2" s="1"/>
  <c r="I20" i="2" l="1"/>
  <c r="P20" i="2" s="1"/>
  <c r="O20" i="2"/>
  <c r="I48" i="2"/>
  <c r="O48" i="2"/>
  <c r="O53" i="2"/>
  <c r="I53" i="2"/>
  <c r="P53" i="2" s="1"/>
  <c r="O30" i="2"/>
  <c r="O22" i="2"/>
  <c r="O84" i="2"/>
  <c r="P54" i="2"/>
  <c r="I72" i="2"/>
  <c r="P72" i="2" s="1"/>
  <c r="O72" i="2"/>
  <c r="O74" i="2"/>
  <c r="O58" i="2"/>
  <c r="O65" i="2"/>
  <c r="O75" i="2"/>
  <c r="O41" i="2"/>
  <c r="I71" i="2"/>
  <c r="P71" i="2" s="1"/>
  <c r="O71" i="2"/>
  <c r="O34" i="2"/>
  <c r="O29" i="2"/>
  <c r="I29" i="2"/>
  <c r="P29" i="2" s="1"/>
  <c r="O78" i="2"/>
  <c r="P55" i="2"/>
  <c r="I81" i="2"/>
  <c r="P81" i="2" s="1"/>
  <c r="O81" i="2"/>
  <c r="O77" i="2"/>
  <c r="O64" i="2"/>
  <c r="O85" i="2"/>
  <c r="O15" i="2"/>
  <c r="P36" i="2"/>
  <c r="I54" i="2"/>
  <c r="O54" i="2"/>
  <c r="I62" i="2"/>
  <c r="P62" i="2" s="1"/>
  <c r="O88" i="2"/>
  <c r="O86" i="2"/>
  <c r="O55" i="2"/>
  <c r="O40" i="2"/>
  <c r="O17" i="2"/>
  <c r="P63" i="2"/>
  <c r="I84" i="2"/>
  <c r="P84" i="2" s="1"/>
  <c r="O51" i="2"/>
  <c r="O56" i="2"/>
  <c r="P87" i="2"/>
  <c r="L23" i="2"/>
  <c r="Q23" i="2" s="1"/>
  <c r="O69" i="2"/>
  <c r="O11" i="2"/>
  <c r="O70" i="2"/>
  <c r="O46" i="2"/>
  <c r="O61" i="2"/>
  <c r="L21" i="2"/>
  <c r="O66" i="2"/>
  <c r="P39" i="2"/>
  <c r="L36" i="2"/>
  <c r="I21" i="2"/>
  <c r="P21" i="2" s="1"/>
  <c r="O21" i="2"/>
  <c r="O31" i="2"/>
  <c r="O39" i="2"/>
  <c r="P28" i="2"/>
  <c r="P78" i="2"/>
  <c r="I12" i="2"/>
  <c r="P12" i="2" s="1"/>
  <c r="L10" i="2"/>
  <c r="Q10" i="2" s="1"/>
  <c r="L34" i="2"/>
  <c r="I75" i="2"/>
  <c r="P75" i="2" s="1"/>
  <c r="O27" i="2"/>
  <c r="P48" i="2"/>
  <c r="O32" i="2"/>
  <c r="P31" i="2"/>
  <c r="L25" i="2"/>
  <c r="M25" i="2" s="1"/>
  <c r="R25" i="2" s="1"/>
  <c r="I24" i="2"/>
  <c r="P24" i="2" s="1"/>
  <c r="O24" i="2"/>
  <c r="O28" i="2"/>
  <c r="O82" i="2"/>
  <c r="I30" i="2"/>
  <c r="O36" i="2"/>
  <c r="O37" i="2"/>
  <c r="O73" i="2"/>
  <c r="O49" i="2"/>
  <c r="P15" i="2"/>
  <c r="L32" i="2"/>
  <c r="Q32" i="2" s="1"/>
  <c r="I44" i="2"/>
  <c r="P44" i="2" s="1"/>
  <c r="O44" i="2"/>
  <c r="I68" i="2"/>
  <c r="P68" i="2" s="1"/>
  <c r="O68" i="2"/>
  <c r="O57" i="2"/>
  <c r="O38" i="2"/>
  <c r="P45" i="2"/>
  <c r="I83" i="2"/>
  <c r="P83" i="2" s="1"/>
  <c r="I47" i="2"/>
  <c r="P47" i="2" s="1"/>
  <c r="Q24" i="2"/>
  <c r="M24" i="2"/>
  <c r="R24" i="2" s="1"/>
  <c r="I59" i="2"/>
  <c r="P59" i="2" s="1"/>
  <c r="I13" i="2"/>
  <c r="P13" i="2" s="1"/>
  <c r="Q25" i="2"/>
  <c r="I11" i="2"/>
  <c r="P11" i="2" s="1"/>
  <c r="I58" i="2"/>
  <c r="P58" i="2" s="1"/>
  <c r="Q14" i="2"/>
  <c r="M14" i="2"/>
  <c r="R14" i="2" s="1"/>
  <c r="I67" i="2"/>
  <c r="P67" i="2" s="1"/>
  <c r="Q16" i="2"/>
  <c r="M16" i="2"/>
  <c r="R16" i="2" s="1"/>
  <c r="M31" i="2"/>
  <c r="R31" i="2" s="1"/>
  <c r="Q31" i="2"/>
  <c r="Q38" i="2"/>
  <c r="M38" i="2"/>
  <c r="R38" i="2" s="1"/>
  <c r="Q11" i="2"/>
  <c r="M11" i="2"/>
  <c r="R11" i="2" s="1"/>
  <c r="I34" i="2"/>
  <c r="P34" i="2" s="1"/>
  <c r="Q37" i="2"/>
  <c r="M37" i="2"/>
  <c r="R37" i="2" s="1"/>
  <c r="Q15" i="2"/>
  <c r="M15" i="2"/>
  <c r="R15" i="2" s="1"/>
  <c r="I43" i="2"/>
  <c r="P43" i="2" s="1"/>
  <c r="Q29" i="2"/>
  <c r="M29" i="2"/>
  <c r="R29" i="2" s="1"/>
  <c r="Q13" i="2"/>
  <c r="M13" i="2"/>
  <c r="R13" i="2" s="1"/>
  <c r="I17" i="2"/>
  <c r="P17" i="2" s="1"/>
  <c r="M18" i="2"/>
  <c r="R18" i="2" s="1"/>
  <c r="Q18" i="2"/>
  <c r="I23" i="2"/>
  <c r="P23" i="2" s="1"/>
  <c r="Q35" i="2"/>
  <c r="M35" i="2"/>
  <c r="R35" i="2" s="1"/>
  <c r="M26" i="2"/>
  <c r="R26" i="2" s="1"/>
  <c r="Q26" i="2"/>
  <c r="M20" i="2"/>
  <c r="R20" i="2" s="1"/>
  <c r="Q20" i="2"/>
  <c r="P27" i="2"/>
  <c r="Q28" i="2"/>
  <c r="M28" i="2"/>
  <c r="R28" i="2" s="1"/>
  <c r="L57" i="2"/>
  <c r="L66" i="2"/>
  <c r="L68" i="2"/>
  <c r="L44" i="2"/>
  <c r="Q40" i="2"/>
  <c r="L42" i="2"/>
  <c r="L63" i="2"/>
  <c r="L55" i="2"/>
  <c r="L51" i="2"/>
  <c r="L46" i="2"/>
  <c r="L53" i="2"/>
  <c r="M40" i="2"/>
  <c r="R40" i="2" s="1"/>
  <c r="L64" i="2"/>
  <c r="L70" i="2"/>
  <c r="L62" i="2"/>
  <c r="L49" i="2"/>
  <c r="L60" i="2"/>
  <c r="L71" i="2"/>
  <c r="L47" i="2"/>
  <c r="L48" i="2"/>
  <c r="L58" i="2"/>
  <c r="L45" i="2"/>
  <c r="L69" i="2"/>
  <c r="L56" i="2"/>
  <c r="L67" i="2"/>
  <c r="L43" i="2"/>
  <c r="L54" i="2"/>
  <c r="L72" i="2"/>
  <c r="L65" i="2"/>
  <c r="L41" i="2"/>
  <c r="L52" i="2"/>
  <c r="L50" i="2"/>
  <c r="L61" i="2"/>
  <c r="L59" i="2"/>
  <c r="I74" i="2"/>
  <c r="P74" i="2" s="1"/>
  <c r="Q22" i="2"/>
  <c r="M22" i="2"/>
  <c r="R22" i="2" s="1"/>
  <c r="M17" i="2"/>
  <c r="R17" i="2" s="1"/>
  <c r="Q17" i="2"/>
  <c r="M33" i="2"/>
  <c r="R33" i="2" s="1"/>
  <c r="Q33" i="2"/>
  <c r="Q39" i="2"/>
  <c r="M39" i="2"/>
  <c r="R39" i="2" s="1"/>
  <c r="I26" i="2"/>
  <c r="P26" i="2" s="1"/>
  <c r="Q30" i="2"/>
  <c r="M30" i="2"/>
  <c r="R30" i="2" s="1"/>
  <c r="Q36" i="2"/>
  <c r="M36" i="2"/>
  <c r="R36" i="2" s="1"/>
  <c r="Q27" i="2"/>
  <c r="M27" i="2"/>
  <c r="R27" i="2" s="1"/>
  <c r="I88" i="2"/>
  <c r="P88" i="2" s="1"/>
  <c r="I50" i="2"/>
  <c r="P50" i="2" s="1"/>
  <c r="I82" i="2"/>
  <c r="P82" i="2" s="1"/>
  <c r="I41" i="2"/>
  <c r="P41" i="2" s="1"/>
  <c r="I61" i="2"/>
  <c r="P61" i="2" s="1"/>
  <c r="I51" i="2"/>
  <c r="P51" i="2" s="1"/>
  <c r="M19" i="2"/>
  <c r="R19" i="2" s="1"/>
  <c r="Q19" i="2"/>
  <c r="I80" i="2"/>
  <c r="P80" i="2" s="1"/>
  <c r="I56" i="2"/>
  <c r="P56" i="2" s="1"/>
  <c r="I73" i="2"/>
  <c r="P73" i="2" s="1"/>
  <c r="I32" i="2"/>
  <c r="P32" i="2" s="1"/>
  <c r="P22" i="2"/>
  <c r="Q12" i="2"/>
  <c r="M12" i="2"/>
  <c r="R12" i="2" s="1"/>
  <c r="I35" i="2"/>
  <c r="P35" i="2" s="1"/>
  <c r="I10" i="2"/>
  <c r="P10" i="2" s="1"/>
  <c r="I64" i="2"/>
  <c r="P64" i="2" s="1"/>
  <c r="I40" i="2"/>
  <c r="P40" i="2" s="1"/>
  <c r="I16" i="2"/>
  <c r="P16" i="2" s="1"/>
  <c r="P30" i="2"/>
  <c r="I66" i="2"/>
  <c r="P66" i="2" s="1"/>
  <c r="I42" i="2"/>
  <c r="P42" i="2" s="1"/>
  <c r="Q34" i="2"/>
  <c r="M34" i="2"/>
  <c r="R34" i="2" s="1"/>
  <c r="P57" i="2"/>
  <c r="I85" i="2"/>
  <c r="P85" i="2" s="1"/>
  <c r="I18" i="2"/>
  <c r="P18" i="2" s="1"/>
  <c r="I25" i="2"/>
  <c r="P25" i="2" s="1"/>
  <c r="Q21" i="2"/>
  <c r="M21" i="2"/>
  <c r="R21" i="2" s="1"/>
  <c r="I19" i="2"/>
  <c r="P19" i="2" s="1"/>
  <c r="I70" i="2"/>
  <c r="P70" i="2" s="1"/>
  <c r="I65" i="2"/>
  <c r="P65" i="2" s="1"/>
  <c r="I46" i="2"/>
  <c r="P46" i="2" s="1"/>
  <c r="I37" i="2"/>
  <c r="P37" i="2" s="1"/>
  <c r="I49" i="2"/>
  <c r="P49" i="2" s="1"/>
  <c r="I33" i="2"/>
  <c r="P33" i="2" s="1"/>
  <c r="P69" i="2"/>
  <c r="M10" i="2" l="1"/>
  <c r="R10" i="2" s="1"/>
  <c r="M32" i="2"/>
  <c r="R32" i="2" s="1"/>
  <c r="M23" i="2"/>
  <c r="R23" i="2" s="1"/>
  <c r="Q41" i="2"/>
  <c r="M41" i="2"/>
  <c r="R41" i="2" s="1"/>
  <c r="Q46" i="2"/>
  <c r="M46" i="2"/>
  <c r="R46" i="2" s="1"/>
  <c r="M55" i="2"/>
  <c r="R55" i="2" s="1"/>
  <c r="Q55" i="2"/>
  <c r="Q65" i="2"/>
  <c r="M65" i="2"/>
  <c r="R65" i="2" s="1"/>
  <c r="Q61" i="2"/>
  <c r="M61" i="2"/>
  <c r="R61" i="2" s="1"/>
  <c r="Q43" i="2"/>
  <c r="M43" i="2"/>
  <c r="R43" i="2" s="1"/>
  <c r="Q53" i="2"/>
  <c r="M53" i="2"/>
  <c r="R53" i="2" s="1"/>
  <c r="Q51" i="2"/>
  <c r="M51" i="2"/>
  <c r="R51" i="2" s="1"/>
  <c r="L81" i="2"/>
  <c r="L79" i="2"/>
  <c r="L75" i="2"/>
  <c r="L77" i="2"/>
  <c r="L88" i="2"/>
  <c r="L86" i="2"/>
  <c r="L73" i="2"/>
  <c r="L84" i="2"/>
  <c r="L82" i="2"/>
  <c r="L80" i="2"/>
  <c r="L78" i="2"/>
  <c r="L76" i="2"/>
  <c r="Q72" i="2"/>
  <c r="L87" i="2"/>
  <c r="L74" i="2"/>
  <c r="L85" i="2"/>
  <c r="M72" i="2"/>
  <c r="R72" i="2" s="1"/>
  <c r="L83" i="2"/>
  <c r="Q63" i="2"/>
  <c r="M63" i="2"/>
  <c r="R63" i="2" s="1"/>
  <c r="M66" i="2"/>
  <c r="R66" i="2" s="1"/>
  <c r="Q66" i="2"/>
  <c r="M42" i="2"/>
  <c r="R42" i="2" s="1"/>
  <c r="Q42" i="2"/>
  <c r="M44" i="2"/>
  <c r="R44" i="2" s="1"/>
  <c r="Q44" i="2"/>
  <c r="Q56" i="2"/>
  <c r="M56" i="2"/>
  <c r="R56" i="2" s="1"/>
  <c r="Q47" i="2"/>
  <c r="M47" i="2"/>
  <c r="R47" i="2" s="1"/>
  <c r="Q64" i="2"/>
  <c r="M64" i="2"/>
  <c r="R64" i="2" s="1"/>
  <c r="Q59" i="2"/>
  <c r="M59" i="2"/>
  <c r="R59" i="2" s="1"/>
  <c r="Q52" i="2"/>
  <c r="M52" i="2"/>
  <c r="R52" i="2" s="1"/>
  <c r="Q58" i="2"/>
  <c r="M58" i="2"/>
  <c r="R58" i="2" s="1"/>
  <c r="Q48" i="2"/>
  <c r="M48" i="2"/>
  <c r="R48" i="2" s="1"/>
  <c r="Q71" i="2"/>
  <c r="M71" i="2"/>
  <c r="R71" i="2" s="1"/>
  <c r="Q50" i="2"/>
  <c r="M50" i="2"/>
  <c r="R50" i="2" s="1"/>
  <c r="M57" i="2"/>
  <c r="R57" i="2" s="1"/>
  <c r="Q57" i="2"/>
  <c r="Q45" i="2"/>
  <c r="M45" i="2"/>
  <c r="R45" i="2" s="1"/>
  <c r="Q60" i="2"/>
  <c r="M60" i="2"/>
  <c r="R60" i="2" s="1"/>
  <c r="M68" i="2"/>
  <c r="R68" i="2" s="1"/>
  <c r="Q68" i="2"/>
  <c r="Q49" i="2"/>
  <c r="M49" i="2"/>
  <c r="R49" i="2" s="1"/>
  <c r="Q54" i="2"/>
  <c r="M54" i="2"/>
  <c r="R54" i="2" s="1"/>
  <c r="Q67" i="2"/>
  <c r="M67" i="2"/>
  <c r="R67" i="2" s="1"/>
  <c r="M62" i="2"/>
  <c r="R62" i="2" s="1"/>
  <c r="Q62" i="2"/>
  <c r="Q69" i="2"/>
  <c r="M69" i="2"/>
  <c r="R69" i="2" s="1"/>
  <c r="Q70" i="2"/>
  <c r="M70" i="2"/>
  <c r="R70" i="2" s="1"/>
  <c r="Q88" i="2" l="1"/>
  <c r="M88" i="2"/>
  <c r="R88" i="2" s="1"/>
  <c r="Q84" i="2"/>
  <c r="M84" i="2"/>
  <c r="R84" i="2" s="1"/>
  <c r="Q75" i="2"/>
  <c r="M75" i="2"/>
  <c r="R75" i="2" s="1"/>
  <c r="M79" i="2"/>
  <c r="R79" i="2" s="1"/>
  <c r="Q79" i="2"/>
  <c r="Q86" i="2"/>
  <c r="M86" i="2"/>
  <c r="R86" i="2" s="1"/>
  <c r="Q81" i="2"/>
  <c r="M81" i="2"/>
  <c r="R81" i="2" s="1"/>
  <c r="Q74" i="2"/>
  <c r="M74" i="2"/>
  <c r="R74" i="2" s="1"/>
  <c r="Q78" i="2"/>
  <c r="M78" i="2"/>
  <c r="R78" i="2" s="1"/>
  <c r="Q73" i="2"/>
  <c r="M73" i="2"/>
  <c r="R73" i="2" s="1"/>
  <c r="Q83" i="2"/>
  <c r="M83" i="2"/>
  <c r="R83" i="2" s="1"/>
  <c r="Q85" i="2"/>
  <c r="M85" i="2"/>
  <c r="R85" i="2" s="1"/>
  <c r="Q77" i="2"/>
  <c r="M77" i="2"/>
  <c r="R77" i="2" s="1"/>
  <c r="Q87" i="2"/>
  <c r="M87" i="2"/>
  <c r="R87" i="2" s="1"/>
  <c r="Q76" i="2"/>
  <c r="M76" i="2"/>
  <c r="R76" i="2" s="1"/>
  <c r="Q80" i="2"/>
  <c r="M80" i="2"/>
  <c r="R80" i="2" s="1"/>
  <c r="Q82" i="2"/>
  <c r="M82" i="2"/>
  <c r="R82" i="2" s="1"/>
  <c r="F9" i="1" l="1"/>
  <c r="O9" i="1" s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10" i="1"/>
  <c r="L9" i="1" l="1"/>
  <c r="G13" i="1"/>
  <c r="J13" i="1" s="1"/>
  <c r="H13" i="1"/>
  <c r="K13" i="1" s="1"/>
  <c r="G17" i="1"/>
  <c r="J17" i="1" s="1"/>
  <c r="H17" i="1"/>
  <c r="K17" i="1" s="1"/>
  <c r="F62" i="1"/>
  <c r="G62" i="1"/>
  <c r="J62" i="1" s="1"/>
  <c r="H62" i="1"/>
  <c r="K62" i="1" s="1"/>
  <c r="G32" i="1"/>
  <c r="J32" i="1" s="1"/>
  <c r="H32" i="1"/>
  <c r="K32" i="1" s="1"/>
  <c r="G41" i="1"/>
  <c r="J41" i="1" s="1"/>
  <c r="H41" i="1"/>
  <c r="K41" i="1" s="1"/>
  <c r="G15" i="1"/>
  <c r="J15" i="1" s="1"/>
  <c r="H15" i="1"/>
  <c r="K15" i="1" s="1"/>
  <c r="G31" i="1"/>
  <c r="J31" i="1" s="1"/>
  <c r="H31" i="1"/>
  <c r="K31" i="1" s="1"/>
  <c r="G40" i="1"/>
  <c r="J40" i="1" s="1"/>
  <c r="H40" i="1"/>
  <c r="K40" i="1" s="1"/>
  <c r="G39" i="1"/>
  <c r="J39" i="1" s="1"/>
  <c r="H39" i="1"/>
  <c r="K39" i="1" s="1"/>
  <c r="F61" i="1"/>
  <c r="G61" i="1"/>
  <c r="J61" i="1" s="1"/>
  <c r="H61" i="1"/>
  <c r="K61" i="1" s="1"/>
  <c r="H36" i="1"/>
  <c r="K36" i="1" s="1"/>
  <c r="G36" i="1"/>
  <c r="J36" i="1" s="1"/>
  <c r="F59" i="1"/>
  <c r="G59" i="1"/>
  <c r="J59" i="1" s="1"/>
  <c r="H59" i="1"/>
  <c r="K59" i="1" s="1"/>
  <c r="F58" i="1"/>
  <c r="G58" i="1"/>
  <c r="J58" i="1" s="1"/>
  <c r="H58" i="1"/>
  <c r="K58" i="1" s="1"/>
  <c r="F88" i="1"/>
  <c r="G88" i="1"/>
  <c r="J88" i="1" s="1"/>
  <c r="H88" i="1"/>
  <c r="K88" i="1" s="1"/>
  <c r="F86" i="1"/>
  <c r="G86" i="1"/>
  <c r="J86" i="1" s="1"/>
  <c r="H86" i="1"/>
  <c r="K86" i="1" s="1"/>
  <c r="G30" i="1"/>
  <c r="J30" i="1" s="1"/>
  <c r="H30" i="1"/>
  <c r="K30" i="1" s="1"/>
  <c r="G83" i="1"/>
  <c r="J83" i="1" s="1"/>
  <c r="H83" i="1"/>
  <c r="K83" i="1" s="1"/>
  <c r="G51" i="1"/>
  <c r="J51" i="1" s="1"/>
  <c r="H51" i="1"/>
  <c r="K51" i="1" s="1"/>
  <c r="G79" i="1"/>
  <c r="J79" i="1" s="1"/>
  <c r="H79" i="1"/>
  <c r="K79" i="1" s="1"/>
  <c r="G65" i="1"/>
  <c r="J65" i="1" s="1"/>
  <c r="H65" i="1"/>
  <c r="K65" i="1" s="1"/>
  <c r="G16" i="1"/>
  <c r="J16" i="1" s="1"/>
  <c r="H16" i="1"/>
  <c r="K16" i="1" s="1"/>
  <c r="G38" i="1"/>
  <c r="J38" i="1" s="1"/>
  <c r="H38" i="1"/>
  <c r="K38" i="1" s="1"/>
  <c r="G12" i="1"/>
  <c r="J12" i="1" s="1"/>
  <c r="H12" i="1"/>
  <c r="K12" i="1" s="1"/>
  <c r="H34" i="1"/>
  <c r="K34" i="1" s="1"/>
  <c r="G34" i="1"/>
  <c r="J34" i="1" s="1"/>
  <c r="F87" i="1"/>
  <c r="G87" i="1"/>
  <c r="J87" i="1" s="1"/>
  <c r="H87" i="1"/>
  <c r="K87" i="1" s="1"/>
  <c r="F85" i="1"/>
  <c r="G85" i="1"/>
  <c r="J85" i="1" s="1"/>
  <c r="H85" i="1"/>
  <c r="K85" i="1" s="1"/>
  <c r="G29" i="1"/>
  <c r="J29" i="1" s="1"/>
  <c r="H29" i="1"/>
  <c r="K29" i="1" s="1"/>
  <c r="G28" i="1"/>
  <c r="J28" i="1" s="1"/>
  <c r="H28" i="1"/>
  <c r="K28" i="1" s="1"/>
  <c r="G81" i="1"/>
  <c r="J81" i="1" s="1"/>
  <c r="H81" i="1"/>
  <c r="K81" i="1" s="1"/>
  <c r="G80" i="1"/>
  <c r="J80" i="1" s="1"/>
  <c r="H80" i="1"/>
  <c r="K80" i="1" s="1"/>
  <c r="F72" i="1"/>
  <c r="H72" i="1"/>
  <c r="K72" i="1" s="1"/>
  <c r="G72" i="1"/>
  <c r="J72" i="1" s="1"/>
  <c r="F78" i="1"/>
  <c r="G78" i="1"/>
  <c r="J78" i="1" s="1"/>
  <c r="H78" i="1"/>
  <c r="K78" i="1" s="1"/>
  <c r="F76" i="1"/>
  <c r="G76" i="1"/>
  <c r="J76" i="1" s="1"/>
  <c r="H76" i="1"/>
  <c r="K76" i="1" s="1"/>
  <c r="F64" i="1"/>
  <c r="G64" i="1"/>
  <c r="J64" i="1" s="1"/>
  <c r="H64" i="1"/>
  <c r="K64" i="1" s="1"/>
  <c r="G14" i="1"/>
  <c r="J14" i="1" s="1"/>
  <c r="H14" i="1"/>
  <c r="K14" i="1" s="1"/>
  <c r="F60" i="1"/>
  <c r="G60" i="1"/>
  <c r="J60" i="1" s="1"/>
  <c r="H60" i="1"/>
  <c r="K60" i="1" s="1"/>
  <c r="G11" i="1"/>
  <c r="J11" i="1" s="1"/>
  <c r="H11" i="1"/>
  <c r="K11" i="1" s="1"/>
  <c r="F57" i="1"/>
  <c r="G57" i="1"/>
  <c r="J57" i="1" s="1"/>
  <c r="H57" i="1"/>
  <c r="K57" i="1" s="1"/>
  <c r="G56" i="1"/>
  <c r="J56" i="1" s="1"/>
  <c r="H56" i="1"/>
  <c r="K56" i="1" s="1"/>
  <c r="G55" i="1"/>
  <c r="J55" i="1" s="1"/>
  <c r="H55" i="1"/>
  <c r="K55" i="1" s="1"/>
  <c r="G54" i="1"/>
  <c r="J54" i="1" s="1"/>
  <c r="H54" i="1"/>
  <c r="K54" i="1" s="1"/>
  <c r="G53" i="1"/>
  <c r="J53" i="1" s="1"/>
  <c r="H53" i="1"/>
  <c r="K53" i="1" s="1"/>
  <c r="G52" i="1"/>
  <c r="J52" i="1" s="1"/>
  <c r="H52" i="1"/>
  <c r="K52" i="1" s="1"/>
  <c r="G27" i="1"/>
  <c r="J27" i="1" s="1"/>
  <c r="H27" i="1"/>
  <c r="K27" i="1" s="1"/>
  <c r="G50" i="1"/>
  <c r="J50" i="1" s="1"/>
  <c r="H50" i="1"/>
  <c r="K50" i="1" s="1"/>
  <c r="G49" i="1"/>
  <c r="J49" i="1" s="1"/>
  <c r="H49" i="1"/>
  <c r="K49" i="1" s="1"/>
  <c r="G25" i="1"/>
  <c r="J25" i="1" s="1"/>
  <c r="H25" i="1"/>
  <c r="K25" i="1" s="1"/>
  <c r="H24" i="1"/>
  <c r="K24" i="1" s="1"/>
  <c r="G24" i="1"/>
  <c r="J24" i="1" s="1"/>
  <c r="F22" i="1"/>
  <c r="G22" i="1"/>
  <c r="J22" i="1" s="1"/>
  <c r="H22" i="1"/>
  <c r="K22" i="1" s="1"/>
  <c r="F63" i="1"/>
  <c r="G63" i="1"/>
  <c r="J63" i="1" s="1"/>
  <c r="H63" i="1"/>
  <c r="K63" i="1" s="1"/>
  <c r="G37" i="1"/>
  <c r="J37" i="1" s="1"/>
  <c r="H37" i="1"/>
  <c r="K37" i="1" s="1"/>
  <c r="G35" i="1"/>
  <c r="J35" i="1" s="1"/>
  <c r="H35" i="1"/>
  <c r="K35" i="1" s="1"/>
  <c r="G33" i="1"/>
  <c r="J33" i="1" s="1"/>
  <c r="H33" i="1"/>
  <c r="K33" i="1" s="1"/>
  <c r="F84" i="1"/>
  <c r="G84" i="1"/>
  <c r="J84" i="1" s="1"/>
  <c r="H84" i="1"/>
  <c r="K84" i="1" s="1"/>
  <c r="G82" i="1"/>
  <c r="J82" i="1" s="1"/>
  <c r="H82" i="1"/>
  <c r="K82" i="1" s="1"/>
  <c r="G26" i="1"/>
  <c r="J26" i="1" s="1"/>
  <c r="H26" i="1"/>
  <c r="K26" i="1" s="1"/>
  <c r="G10" i="1"/>
  <c r="J10" i="1" s="1"/>
  <c r="H10" i="1"/>
  <c r="K10" i="1" s="1"/>
  <c r="F48" i="1"/>
  <c r="G48" i="1"/>
  <c r="J48" i="1" s="1"/>
  <c r="H48" i="1"/>
  <c r="K48" i="1" s="1"/>
  <c r="F71" i="1"/>
  <c r="G71" i="1"/>
  <c r="J71" i="1" s="1"/>
  <c r="H71" i="1"/>
  <c r="K71" i="1" s="1"/>
  <c r="F47" i="1"/>
  <c r="G47" i="1"/>
  <c r="J47" i="1" s="1"/>
  <c r="H47" i="1"/>
  <c r="K47" i="1" s="1"/>
  <c r="F23" i="1"/>
  <c r="G23" i="1"/>
  <c r="J23" i="1" s="1"/>
  <c r="H23" i="1"/>
  <c r="K23" i="1" s="1"/>
  <c r="F77" i="1"/>
  <c r="G77" i="1"/>
  <c r="J77" i="1" s="1"/>
  <c r="H77" i="1"/>
  <c r="K77" i="1" s="1"/>
  <c r="F70" i="1"/>
  <c r="G70" i="1"/>
  <c r="J70" i="1" s="1"/>
  <c r="H70" i="1"/>
  <c r="K70" i="1" s="1"/>
  <c r="F46" i="1"/>
  <c r="G46" i="1"/>
  <c r="J46" i="1" s="1"/>
  <c r="H46" i="1"/>
  <c r="K46" i="1" s="1"/>
  <c r="F69" i="1"/>
  <c r="G69" i="1"/>
  <c r="J69" i="1" s="1"/>
  <c r="H69" i="1"/>
  <c r="K69" i="1" s="1"/>
  <c r="F45" i="1"/>
  <c r="G45" i="1"/>
  <c r="J45" i="1" s="1"/>
  <c r="H45" i="1"/>
  <c r="K45" i="1" s="1"/>
  <c r="F21" i="1"/>
  <c r="G21" i="1"/>
  <c r="J21" i="1" s="1"/>
  <c r="H21" i="1"/>
  <c r="K21" i="1" s="1"/>
  <c r="F75" i="1"/>
  <c r="G75" i="1"/>
  <c r="J75" i="1" s="1"/>
  <c r="H75" i="1"/>
  <c r="K75" i="1" s="1"/>
  <c r="F68" i="1"/>
  <c r="G68" i="1"/>
  <c r="J68" i="1" s="1"/>
  <c r="H68" i="1"/>
  <c r="K68" i="1" s="1"/>
  <c r="G44" i="1"/>
  <c r="J44" i="1" s="1"/>
  <c r="H44" i="1"/>
  <c r="K44" i="1" s="1"/>
  <c r="G20" i="1"/>
  <c r="J20" i="1" s="1"/>
  <c r="H20" i="1"/>
  <c r="K20" i="1" s="1"/>
  <c r="F74" i="1"/>
  <c r="O74" i="1" s="1"/>
  <c r="G74" i="1"/>
  <c r="J74" i="1" s="1"/>
  <c r="H74" i="1"/>
  <c r="K74" i="1" s="1"/>
  <c r="G67" i="1"/>
  <c r="J67" i="1" s="1"/>
  <c r="H67" i="1"/>
  <c r="K67" i="1" s="1"/>
  <c r="G43" i="1"/>
  <c r="J43" i="1" s="1"/>
  <c r="H43" i="1"/>
  <c r="K43" i="1" s="1"/>
  <c r="G19" i="1"/>
  <c r="J19" i="1" s="1"/>
  <c r="H19" i="1"/>
  <c r="K19" i="1" s="1"/>
  <c r="F73" i="1"/>
  <c r="H73" i="1"/>
  <c r="K73" i="1" s="1"/>
  <c r="G73" i="1"/>
  <c r="J73" i="1" s="1"/>
  <c r="G66" i="1"/>
  <c r="J66" i="1" s="1"/>
  <c r="H66" i="1"/>
  <c r="K66" i="1" s="1"/>
  <c r="G42" i="1"/>
  <c r="J42" i="1" s="1"/>
  <c r="H42" i="1"/>
  <c r="K42" i="1" s="1"/>
  <c r="G18" i="1"/>
  <c r="J18" i="1" s="1"/>
  <c r="H18" i="1"/>
  <c r="K18" i="1" s="1"/>
  <c r="F67" i="1"/>
  <c r="O67" i="1" s="1"/>
  <c r="F42" i="1"/>
  <c r="O42" i="1" s="1"/>
  <c r="F43" i="1"/>
  <c r="F17" i="1"/>
  <c r="O17" i="1" s="1"/>
  <c r="F44" i="1"/>
  <c r="O44" i="1" s="1"/>
  <c r="F65" i="1"/>
  <c r="F55" i="1"/>
  <c r="F53" i="1"/>
  <c r="O53" i="1" s="1"/>
  <c r="F52" i="1"/>
  <c r="O52" i="1" s="1"/>
  <c r="F51" i="1"/>
  <c r="F81" i="1"/>
  <c r="F50" i="1"/>
  <c r="O50" i="1" s="1"/>
  <c r="F80" i="1"/>
  <c r="F66" i="1"/>
  <c r="F41" i="1"/>
  <c r="O41" i="1" s="1"/>
  <c r="F56" i="1"/>
  <c r="F54" i="1"/>
  <c r="F83" i="1"/>
  <c r="F82" i="1"/>
  <c r="O82" i="1" s="1"/>
  <c r="F49" i="1"/>
  <c r="O49" i="1" s="1"/>
  <c r="F79" i="1"/>
  <c r="F40" i="1"/>
  <c r="O40" i="1" s="1"/>
  <c r="F39" i="1"/>
  <c r="O39" i="1" s="1"/>
  <c r="F36" i="1"/>
  <c r="F33" i="1"/>
  <c r="O33" i="1" s="1"/>
  <c r="F38" i="1"/>
  <c r="O38" i="1" s="1"/>
  <c r="F37" i="1"/>
  <c r="F35" i="1"/>
  <c r="F34" i="1"/>
  <c r="O34" i="1" s="1"/>
  <c r="F31" i="1"/>
  <c r="F32" i="1"/>
  <c r="O32" i="1" s="1"/>
  <c r="F30" i="1"/>
  <c r="F29" i="1"/>
  <c r="F28" i="1"/>
  <c r="F27" i="1"/>
  <c r="O27" i="1" s="1"/>
  <c r="F26" i="1"/>
  <c r="O26" i="1" s="1"/>
  <c r="F25" i="1"/>
  <c r="F24" i="1"/>
  <c r="F19" i="1"/>
  <c r="O19" i="1" s="1"/>
  <c r="F20" i="1"/>
  <c r="O20" i="1" s="1"/>
  <c r="F18" i="1"/>
  <c r="F16" i="1"/>
  <c r="F15" i="1"/>
  <c r="O15" i="1" s="1"/>
  <c r="F11" i="1"/>
  <c r="O11" i="1" s="1"/>
  <c r="F14" i="1"/>
  <c r="O14" i="1" s="1"/>
  <c r="F12" i="1"/>
  <c r="O12" i="1" s="1"/>
  <c r="F13" i="1"/>
  <c r="O13" i="1" s="1"/>
  <c r="F10" i="1"/>
  <c r="O10" i="1" s="1"/>
  <c r="Q9" i="1"/>
  <c r="I9" i="1"/>
  <c r="P9" i="1" s="1"/>
  <c r="O61" i="1" l="1"/>
  <c r="O57" i="1"/>
  <c r="O75" i="1"/>
  <c r="O73" i="1"/>
  <c r="O36" i="1"/>
  <c r="O18" i="1"/>
  <c r="O85" i="1"/>
  <c r="O86" i="1"/>
  <c r="O21" i="1"/>
  <c r="O54" i="1"/>
  <c r="O56" i="1"/>
  <c r="O60" i="1"/>
  <c r="O47" i="1"/>
  <c r="O80" i="1"/>
  <c r="O79" i="1"/>
  <c r="O22" i="1"/>
  <c r="O45" i="1"/>
  <c r="O28" i="1"/>
  <c r="O87" i="1"/>
  <c r="O88" i="1"/>
  <c r="O81" i="1"/>
  <c r="O51" i="1"/>
  <c r="O29" i="1"/>
  <c r="O46" i="1"/>
  <c r="O64" i="1"/>
  <c r="O16" i="1"/>
  <c r="O30" i="1"/>
  <c r="O62" i="1"/>
  <c r="O72" i="1"/>
  <c r="O55" i="1"/>
  <c r="O58" i="1"/>
  <c r="O68" i="1"/>
  <c r="O63" i="1"/>
  <c r="O24" i="1"/>
  <c r="O69" i="1"/>
  <c r="O70" i="1"/>
  <c r="O84" i="1"/>
  <c r="O76" i="1"/>
  <c r="O23" i="1"/>
  <c r="O66" i="1"/>
  <c r="O71" i="1"/>
  <c r="O25" i="1"/>
  <c r="O65" i="1"/>
  <c r="O35" i="1"/>
  <c r="O59" i="1"/>
  <c r="O83" i="1"/>
  <c r="O48" i="1"/>
  <c r="O31" i="1"/>
  <c r="O37" i="1"/>
  <c r="O43" i="1"/>
  <c r="O77" i="1"/>
  <c r="O78" i="1"/>
  <c r="I68" i="1"/>
  <c r="P68" i="1" s="1"/>
  <c r="I47" i="1"/>
  <c r="P47" i="1" s="1"/>
  <c r="I39" i="1"/>
  <c r="P39" i="1" s="1"/>
  <c r="I14" i="1"/>
  <c r="P14" i="1" s="1"/>
  <c r="I15" i="1"/>
  <c r="P15" i="1" s="1"/>
  <c r="I71" i="1"/>
  <c r="P71" i="1" s="1"/>
  <c r="I36" i="1"/>
  <c r="P36" i="1" s="1"/>
  <c r="I75" i="1"/>
  <c r="P75" i="1" s="1"/>
  <c r="I49" i="1"/>
  <c r="P49" i="1" s="1"/>
  <c r="I33" i="1"/>
  <c r="P33" i="1" s="1"/>
  <c r="I72" i="1"/>
  <c r="P72" i="1" s="1"/>
  <c r="I22" i="1"/>
  <c r="P22" i="1" s="1"/>
  <c r="I18" i="1"/>
  <c r="P18" i="1" s="1"/>
  <c r="I45" i="1"/>
  <c r="P45" i="1" s="1"/>
  <c r="I85" i="1"/>
  <c r="P85" i="1" s="1"/>
  <c r="I86" i="1"/>
  <c r="P86" i="1" s="1"/>
  <c r="I13" i="1"/>
  <c r="P13" i="1" s="1"/>
  <c r="I82" i="1"/>
  <c r="P82" i="1" s="1"/>
  <c r="I21" i="1"/>
  <c r="P21" i="1" s="1"/>
  <c r="I54" i="1"/>
  <c r="P54" i="1" s="1"/>
  <c r="I26" i="1"/>
  <c r="P26" i="1" s="1"/>
  <c r="I41" i="1"/>
  <c r="P41" i="1" s="1"/>
  <c r="I60" i="1"/>
  <c r="P60" i="1" s="1"/>
  <c r="I23" i="1"/>
  <c r="P23" i="1" s="1"/>
  <c r="I88" i="1"/>
  <c r="P88" i="1" s="1"/>
  <c r="I56" i="1"/>
  <c r="P56" i="1" s="1"/>
  <c r="I66" i="1"/>
  <c r="P66" i="1" s="1"/>
  <c r="I81" i="1"/>
  <c r="P81" i="1" s="1"/>
  <c r="I62" i="1"/>
  <c r="P62" i="1" s="1"/>
  <c r="I61" i="1"/>
  <c r="P61" i="1" s="1"/>
  <c r="I63" i="1"/>
  <c r="P63" i="1" s="1"/>
  <c r="I20" i="1"/>
  <c r="P20" i="1" s="1"/>
  <c r="I24" i="1"/>
  <c r="P24" i="1" s="1"/>
  <c r="I27" i="1"/>
  <c r="P27" i="1" s="1"/>
  <c r="I58" i="1"/>
  <c r="P58" i="1" s="1"/>
  <c r="I73" i="1"/>
  <c r="P73" i="1" s="1"/>
  <c r="I48" i="1"/>
  <c r="P48" i="1" s="1"/>
  <c r="I84" i="1"/>
  <c r="P84" i="1" s="1"/>
  <c r="I67" i="1"/>
  <c r="P67" i="1" s="1"/>
  <c r="I11" i="1"/>
  <c r="P11" i="1" s="1"/>
  <c r="I80" i="1"/>
  <c r="P80" i="1" s="1"/>
  <c r="I51" i="1"/>
  <c r="P51" i="1" s="1"/>
  <c r="I55" i="1"/>
  <c r="P55" i="1" s="1"/>
  <c r="I31" i="1"/>
  <c r="P31" i="1" s="1"/>
  <c r="I70" i="1"/>
  <c r="P70" i="1" s="1"/>
  <c r="I34" i="1"/>
  <c r="P34" i="1" s="1"/>
  <c r="I12" i="1"/>
  <c r="P12" i="1" s="1"/>
  <c r="I57" i="1"/>
  <c r="P57" i="1" s="1"/>
  <c r="I83" i="1"/>
  <c r="P83" i="1" s="1"/>
  <c r="I19" i="1"/>
  <c r="P19" i="1" s="1"/>
  <c r="I25" i="1"/>
  <c r="P25" i="1" s="1"/>
  <c r="I87" i="1"/>
  <c r="P87" i="1" s="1"/>
  <c r="I52" i="1"/>
  <c r="P52" i="1" s="1"/>
  <c r="I64" i="1"/>
  <c r="P64" i="1" s="1"/>
  <c r="I53" i="1"/>
  <c r="P53" i="1" s="1"/>
  <c r="I32" i="1"/>
  <c r="P32" i="1" s="1"/>
  <c r="I76" i="1"/>
  <c r="P76" i="1" s="1"/>
  <c r="I59" i="1"/>
  <c r="P59" i="1" s="1"/>
  <c r="I40" i="1"/>
  <c r="P40" i="1" s="1"/>
  <c r="I79" i="1"/>
  <c r="P79" i="1" s="1"/>
  <c r="I16" i="1"/>
  <c r="P16" i="1" s="1"/>
  <c r="I50" i="1"/>
  <c r="P50" i="1" s="1"/>
  <c r="I28" i="1"/>
  <c r="P28" i="1" s="1"/>
  <c r="I46" i="1"/>
  <c r="P46" i="1" s="1"/>
  <c r="I30" i="1"/>
  <c r="P30" i="1" s="1"/>
  <c r="I65" i="1"/>
  <c r="P65" i="1" s="1"/>
  <c r="I43" i="1"/>
  <c r="P43" i="1" s="1"/>
  <c r="I78" i="1"/>
  <c r="P78" i="1" s="1"/>
  <c r="I69" i="1"/>
  <c r="P69" i="1" s="1"/>
  <c r="I29" i="1"/>
  <c r="P29" i="1" s="1"/>
  <c r="I74" i="1"/>
  <c r="P74" i="1" s="1"/>
  <c r="I44" i="1"/>
  <c r="P44" i="1" s="1"/>
  <c r="I35" i="1"/>
  <c r="P35" i="1" s="1"/>
  <c r="I17" i="1"/>
  <c r="P17" i="1" s="1"/>
  <c r="I37" i="1"/>
  <c r="P37" i="1" s="1"/>
  <c r="I77" i="1"/>
  <c r="P77" i="1" s="1"/>
  <c r="I38" i="1"/>
  <c r="P38" i="1" s="1"/>
  <c r="I42" i="1"/>
  <c r="P42" i="1" s="1"/>
  <c r="I10" i="1"/>
  <c r="P10" i="1" s="1"/>
  <c r="L13" i="1"/>
  <c r="M13" i="1" s="1"/>
  <c r="R13" i="1" s="1"/>
  <c r="L36" i="1"/>
  <c r="M36" i="1" s="1"/>
  <c r="R36" i="1" s="1"/>
  <c r="L25" i="1"/>
  <c r="M25" i="1" s="1"/>
  <c r="R25" i="1" s="1"/>
  <c r="L22" i="1"/>
  <c r="M22" i="1" s="1"/>
  <c r="R22" i="1" s="1"/>
  <c r="L12" i="1"/>
  <c r="M12" i="1" s="1"/>
  <c r="R12" i="1" s="1"/>
  <c r="L33" i="1"/>
  <c r="M33" i="1" s="1"/>
  <c r="R33" i="1" s="1"/>
  <c r="L30" i="1"/>
  <c r="L31" i="1"/>
  <c r="L20" i="1"/>
  <c r="L10" i="1"/>
  <c r="L26" i="1"/>
  <c r="L35" i="1"/>
  <c r="L17" i="1"/>
  <c r="L24" i="1"/>
  <c r="L34" i="1"/>
  <c r="L40" i="1"/>
  <c r="Q40" i="1" s="1"/>
  <c r="L23" i="1"/>
  <c r="L19" i="1"/>
  <c r="L16" i="1"/>
  <c r="L11" i="1"/>
  <c r="L37" i="1"/>
  <c r="L32" i="1"/>
  <c r="L29" i="1"/>
  <c r="L18" i="1"/>
  <c r="M9" i="1"/>
  <c r="R9" i="1" s="1"/>
  <c r="L28" i="1"/>
  <c r="L39" i="1"/>
  <c r="L21" i="1"/>
  <c r="L15" i="1"/>
  <c r="L14" i="1"/>
  <c r="L38" i="1"/>
  <c r="L27" i="1"/>
  <c r="Q25" i="1" l="1"/>
  <c r="Q13" i="1"/>
  <c r="Q12" i="1"/>
  <c r="Q22" i="1"/>
  <c r="Q36" i="1"/>
  <c r="Q33" i="1"/>
  <c r="M40" i="1"/>
  <c r="R40" i="1" s="1"/>
  <c r="L71" i="1"/>
  <c r="Q71" i="1" s="1"/>
  <c r="L47" i="1"/>
  <c r="Q47" i="1" s="1"/>
  <c r="L61" i="1"/>
  <c r="M61" i="1" s="1"/>
  <c r="R61" i="1" s="1"/>
  <c r="L48" i="1"/>
  <c r="Q48" i="1" s="1"/>
  <c r="L59" i="1"/>
  <c r="M59" i="1" s="1"/>
  <c r="R59" i="1" s="1"/>
  <c r="L65" i="1"/>
  <c r="M65" i="1" s="1"/>
  <c r="R65" i="1" s="1"/>
  <c r="L56" i="1"/>
  <c r="M56" i="1" s="1"/>
  <c r="R56" i="1" s="1"/>
  <c r="L43" i="1"/>
  <c r="Q43" i="1" s="1"/>
  <c r="L70" i="1"/>
  <c r="M70" i="1" s="1"/>
  <c r="R70" i="1" s="1"/>
  <c r="L60" i="1"/>
  <c r="M60" i="1" s="1"/>
  <c r="R60" i="1" s="1"/>
  <c r="L69" i="1"/>
  <c r="M69" i="1" s="1"/>
  <c r="R69" i="1" s="1"/>
  <c r="L57" i="1"/>
  <c r="M57" i="1" s="1"/>
  <c r="R57" i="1" s="1"/>
  <c r="L45" i="1"/>
  <c r="Q45" i="1" s="1"/>
  <c r="L66" i="1"/>
  <c r="M66" i="1" s="1"/>
  <c r="R66" i="1" s="1"/>
  <c r="L42" i="1"/>
  <c r="M42" i="1" s="1"/>
  <c r="R42" i="1" s="1"/>
  <c r="L62" i="1"/>
  <c r="Q62" i="1" s="1"/>
  <c r="L72" i="1"/>
  <c r="Q72" i="1" s="1"/>
  <c r="M32" i="1"/>
  <c r="R32" i="1" s="1"/>
  <c r="Q32" i="1"/>
  <c r="M10" i="1"/>
  <c r="R10" i="1" s="1"/>
  <c r="Q10" i="1"/>
  <c r="M37" i="1"/>
  <c r="R37" i="1" s="1"/>
  <c r="Q37" i="1"/>
  <c r="M20" i="1"/>
  <c r="R20" i="1" s="1"/>
  <c r="Q20" i="1"/>
  <c r="M27" i="1"/>
  <c r="R27" i="1" s="1"/>
  <c r="Q27" i="1"/>
  <c r="M11" i="1"/>
  <c r="R11" i="1" s="1"/>
  <c r="Q11" i="1"/>
  <c r="M31" i="1"/>
  <c r="R31" i="1" s="1"/>
  <c r="Q31" i="1"/>
  <c r="M38" i="1"/>
  <c r="R38" i="1" s="1"/>
  <c r="Q38" i="1"/>
  <c r="M16" i="1"/>
  <c r="R16" i="1" s="1"/>
  <c r="Q16" i="1"/>
  <c r="M30" i="1"/>
  <c r="R30" i="1" s="1"/>
  <c r="Q30" i="1"/>
  <c r="M47" i="1"/>
  <c r="R47" i="1" s="1"/>
  <c r="M14" i="1"/>
  <c r="R14" i="1" s="1"/>
  <c r="Q14" i="1"/>
  <c r="M19" i="1"/>
  <c r="R19" i="1" s="1"/>
  <c r="Q19" i="1"/>
  <c r="M15" i="1"/>
  <c r="R15" i="1" s="1"/>
  <c r="Q15" i="1"/>
  <c r="M23" i="1"/>
  <c r="R23" i="1" s="1"/>
  <c r="Q23" i="1"/>
  <c r="M21" i="1"/>
  <c r="R21" i="1" s="1"/>
  <c r="Q21" i="1"/>
  <c r="L54" i="1"/>
  <c r="L51" i="1"/>
  <c r="L46" i="1"/>
  <c r="M39" i="1"/>
  <c r="R39" i="1" s="1"/>
  <c r="Q39" i="1"/>
  <c r="M34" i="1"/>
  <c r="R34" i="1" s="1"/>
  <c r="Q34" i="1"/>
  <c r="L68" i="1"/>
  <c r="L50" i="1"/>
  <c r="L63" i="1"/>
  <c r="M28" i="1"/>
  <c r="R28" i="1" s="1"/>
  <c r="Q28" i="1"/>
  <c r="M24" i="1"/>
  <c r="R24" i="1" s="1"/>
  <c r="Q24" i="1"/>
  <c r="L44" i="1"/>
  <c r="L58" i="1"/>
  <c r="L55" i="1"/>
  <c r="M17" i="1"/>
  <c r="R17" i="1" s="1"/>
  <c r="Q17" i="1"/>
  <c r="L64" i="1"/>
  <c r="L41" i="1"/>
  <c r="L53" i="1"/>
  <c r="M18" i="1"/>
  <c r="R18" i="1" s="1"/>
  <c r="Q18" i="1"/>
  <c r="M35" i="1"/>
  <c r="R35" i="1" s="1"/>
  <c r="Q35" i="1"/>
  <c r="L67" i="1"/>
  <c r="L49" i="1"/>
  <c r="L52" i="1"/>
  <c r="M29" i="1"/>
  <c r="R29" i="1" s="1"/>
  <c r="Q29" i="1"/>
  <c r="M26" i="1"/>
  <c r="R26" i="1" s="1"/>
  <c r="Q26" i="1"/>
  <c r="Q66" i="1" l="1"/>
  <c r="L81" i="1"/>
  <c r="M81" i="1" s="1"/>
  <c r="R81" i="1" s="1"/>
  <c r="M45" i="1"/>
  <c r="R45" i="1" s="1"/>
  <c r="M71" i="1"/>
  <c r="R71" i="1" s="1"/>
  <c r="Q61" i="1"/>
  <c r="L79" i="1"/>
  <c r="Q79" i="1" s="1"/>
  <c r="Q42" i="1"/>
  <c r="M48" i="1"/>
  <c r="R48" i="1" s="1"/>
  <c r="Q65" i="1"/>
  <c r="L80" i="1"/>
  <c r="M80" i="1" s="1"/>
  <c r="R80" i="1" s="1"/>
  <c r="L78" i="1"/>
  <c r="M78" i="1" s="1"/>
  <c r="R78" i="1" s="1"/>
  <c r="L73" i="1"/>
  <c r="Q73" i="1" s="1"/>
  <c r="L88" i="1"/>
  <c r="M88" i="1" s="1"/>
  <c r="R88" i="1" s="1"/>
  <c r="L87" i="1"/>
  <c r="Q87" i="1" s="1"/>
  <c r="L86" i="1"/>
  <c r="M86" i="1" s="1"/>
  <c r="R86" i="1" s="1"/>
  <c r="L85" i="1"/>
  <c r="M85" i="1" s="1"/>
  <c r="R85" i="1" s="1"/>
  <c r="Q57" i="1"/>
  <c r="L84" i="1"/>
  <c r="Q84" i="1" s="1"/>
  <c r="L83" i="1"/>
  <c r="M83" i="1" s="1"/>
  <c r="R83" i="1" s="1"/>
  <c r="L82" i="1"/>
  <c r="M82" i="1" s="1"/>
  <c r="R82" i="1" s="1"/>
  <c r="Q69" i="1"/>
  <c r="M43" i="1"/>
  <c r="R43" i="1" s="1"/>
  <c r="Q70" i="1"/>
  <c r="Q59" i="1"/>
  <c r="L76" i="1"/>
  <c r="M76" i="1" s="1"/>
  <c r="R76" i="1" s="1"/>
  <c r="L75" i="1"/>
  <c r="M75" i="1" s="1"/>
  <c r="R75" i="1" s="1"/>
  <c r="M62" i="1"/>
  <c r="R62" i="1" s="1"/>
  <c r="Q56" i="1"/>
  <c r="Q60" i="1"/>
  <c r="L77" i="1"/>
  <c r="M77" i="1" s="1"/>
  <c r="R77" i="1" s="1"/>
  <c r="L74" i="1"/>
  <c r="Q74" i="1" s="1"/>
  <c r="M72" i="1"/>
  <c r="R72" i="1" s="1"/>
  <c r="M51" i="1"/>
  <c r="R51" i="1" s="1"/>
  <c r="Q51" i="1"/>
  <c r="M54" i="1"/>
  <c r="R54" i="1" s="1"/>
  <c r="Q54" i="1"/>
  <c r="M79" i="1"/>
  <c r="R79" i="1" s="1"/>
  <c r="M53" i="1"/>
  <c r="R53" i="1" s="1"/>
  <c r="Q53" i="1"/>
  <c r="M63" i="1"/>
  <c r="R63" i="1" s="1"/>
  <c r="Q63" i="1"/>
  <c r="M41" i="1"/>
  <c r="R41" i="1" s="1"/>
  <c r="Q41" i="1"/>
  <c r="M50" i="1"/>
  <c r="R50" i="1" s="1"/>
  <c r="Q50" i="1"/>
  <c r="M64" i="1"/>
  <c r="R64" i="1" s="1"/>
  <c r="Q64" i="1"/>
  <c r="M68" i="1"/>
  <c r="R68" i="1" s="1"/>
  <c r="Q68" i="1"/>
  <c r="M52" i="1"/>
  <c r="R52" i="1" s="1"/>
  <c r="Q52" i="1"/>
  <c r="M55" i="1"/>
  <c r="R55" i="1" s="1"/>
  <c r="Q55" i="1"/>
  <c r="M49" i="1"/>
  <c r="R49" i="1" s="1"/>
  <c r="Q49" i="1"/>
  <c r="M58" i="1"/>
  <c r="R58" i="1" s="1"/>
  <c r="Q58" i="1"/>
  <c r="M67" i="1"/>
  <c r="R67" i="1" s="1"/>
  <c r="Q67" i="1"/>
  <c r="M44" i="1"/>
  <c r="R44" i="1" s="1"/>
  <c r="Q44" i="1"/>
  <c r="M46" i="1"/>
  <c r="R46" i="1" s="1"/>
  <c r="Q46" i="1"/>
  <c r="Q81" i="1" l="1"/>
  <c r="M73" i="1"/>
  <c r="R73" i="1" s="1"/>
  <c r="Q78" i="1"/>
  <c r="Q88" i="1"/>
  <c r="M87" i="1"/>
  <c r="R87" i="1" s="1"/>
  <c r="M84" i="1"/>
  <c r="R84" i="1" s="1"/>
  <c r="Q80" i="1"/>
  <c r="Q86" i="1"/>
  <c r="Q83" i="1"/>
  <c r="Q82" i="1"/>
  <c r="Q76" i="1"/>
  <c r="Q85" i="1"/>
  <c r="M74" i="1"/>
  <c r="R74" i="1" s="1"/>
  <c r="Q75" i="1"/>
  <c r="Q77" i="1"/>
</calcChain>
</file>

<file path=xl/sharedStrings.xml><?xml version="1.0" encoding="utf-8"?>
<sst xmlns="http://schemas.openxmlformats.org/spreadsheetml/2006/main" count="288" uniqueCount="33">
  <si>
    <t>Ankünfte</t>
  </si>
  <si>
    <t>Ereignisse/Sek.</t>
  </si>
  <si>
    <t>Ereignisse/Kern/Sek.</t>
  </si>
  <si>
    <t>Notwendige Simulationsereignisse pro Kundenankunft: 2 (immer)</t>
  </si>
  <si>
    <t>Eingestellt</t>
  </si>
  <si>
    <t>Messung</t>
  </si>
  <si>
    <t>Theoretischer Wert</t>
  </si>
  <si>
    <t>Threads</t>
  </si>
  <si>
    <t>Modell: M/M/1 mit E[I]=100 und E[S]=80</t>
  </si>
  <si>
    <r>
      <rPr>
        <u/>
        <sz val="11"/>
        <color theme="1"/>
        <rFont val="Calibri"/>
        <family val="2"/>
        <scheme val="minor"/>
      </rPr>
      <t>Annahme:</t>
    </r>
    <r>
      <rPr>
        <sz val="11"/>
        <color theme="1"/>
        <rFont val="Calibri"/>
        <family val="2"/>
        <scheme val="minor"/>
      </rPr>
      <t xml:space="preserve"> Ein Hyperthreading-Kern bringt so viel Leistung wie </t>
    </r>
    <r>
      <rPr>
        <b/>
        <sz val="11"/>
        <color theme="1"/>
        <rFont val="Calibri"/>
        <family val="2"/>
        <scheme val="minor"/>
      </rPr>
      <t>40%</t>
    </r>
    <r>
      <rPr>
        <sz val="11"/>
        <color theme="1"/>
        <rFont val="Calibri"/>
        <family val="2"/>
        <scheme val="minor"/>
      </rPr>
      <t xml:space="preserve"> eines realen Kerns.</t>
    </r>
  </si>
  <si>
    <r>
      <rPr>
        <u/>
        <sz val="11"/>
        <color theme="1"/>
        <rFont val="Calibri"/>
        <family val="2"/>
        <scheme val="minor"/>
      </rPr>
      <t>Theoretische Werte:</t>
    </r>
    <r>
      <rPr>
        <sz val="11"/>
        <color theme="1"/>
        <rFont val="Calibri"/>
        <family val="2"/>
        <scheme val="minor"/>
      </rPr>
      <t xml:space="preserve"> Diese stellen eine lineare Hochrechnung des Single-Thread-Wertes ohne Parallelisierungsverluste dar.</t>
    </r>
  </si>
  <si>
    <t>Java-basierter Simulator auf cloud-248</t>
  </si>
  <si>
    <r>
      <t xml:space="preserve">Rechenzeit (in ms) </t>
    </r>
    <r>
      <rPr>
        <b/>
        <sz val="8"/>
        <color theme="1"/>
        <rFont val="Calibri"/>
        <family val="2"/>
        <scheme val="minor"/>
      </rPr>
      <t>1</t>
    </r>
  </si>
  <si>
    <r>
      <t xml:space="preserve">Rechenzeit (in ms) </t>
    </r>
    <r>
      <rPr>
        <b/>
        <sz val="8"/>
        <color theme="1"/>
        <rFont val="Calibri"/>
        <family val="2"/>
        <scheme val="minor"/>
      </rPr>
      <t>2</t>
    </r>
  </si>
  <si>
    <r>
      <t xml:space="preserve">Rechenzeit (in ms) </t>
    </r>
    <r>
      <rPr>
        <b/>
        <sz val="8"/>
        <color theme="1"/>
        <rFont val="Calibri"/>
        <family val="2"/>
        <scheme val="minor"/>
      </rPr>
      <t>3</t>
    </r>
  </si>
  <si>
    <r>
      <t xml:space="preserve">Ereignisse/Sek. </t>
    </r>
    <r>
      <rPr>
        <b/>
        <sz val="8"/>
        <color theme="1"/>
        <rFont val="Calibri"/>
        <family val="2"/>
        <scheme val="minor"/>
      </rPr>
      <t>1</t>
    </r>
  </si>
  <si>
    <r>
      <t xml:space="preserve">Ereignisse/Sek. </t>
    </r>
    <r>
      <rPr>
        <b/>
        <sz val="8"/>
        <color theme="1"/>
        <rFont val="Calibri"/>
        <family val="2"/>
        <scheme val="minor"/>
      </rPr>
      <t>2</t>
    </r>
  </si>
  <si>
    <r>
      <t xml:space="preserve">Ereignisse/Sek. </t>
    </r>
    <r>
      <rPr>
        <b/>
        <sz val="8"/>
        <color theme="1"/>
        <rFont val="Calibri"/>
        <family val="2"/>
        <scheme val="minor"/>
      </rPr>
      <t>3</t>
    </r>
  </si>
  <si>
    <r>
      <t xml:space="preserve">Ereignisse/Kern/Sek. </t>
    </r>
    <r>
      <rPr>
        <b/>
        <sz val="8"/>
        <color theme="1"/>
        <rFont val="Calibri"/>
        <family val="2"/>
        <scheme val="minor"/>
      </rPr>
      <t>1</t>
    </r>
  </si>
  <si>
    <r>
      <t xml:space="preserve">Ereignisse/Kern/Sek. </t>
    </r>
    <r>
      <rPr>
        <b/>
        <sz val="8"/>
        <color theme="1"/>
        <rFont val="Calibri"/>
        <family val="2"/>
        <scheme val="minor"/>
      </rPr>
      <t>2</t>
    </r>
  </si>
  <si>
    <r>
      <t xml:space="preserve">Ereignisse/Kern/Sek. </t>
    </r>
    <r>
      <rPr>
        <b/>
        <sz val="8"/>
        <color theme="1"/>
        <rFont val="Calibri"/>
        <family val="2"/>
        <scheme val="minor"/>
      </rPr>
      <t>3</t>
    </r>
  </si>
  <si>
    <t>Konfiguration: Java 21, kein Load-Balancer, G1-Collector</t>
  </si>
  <si>
    <t>System: 2x 16C32T, Zen+, NUMA</t>
  </si>
  <si>
    <t>Konfiguration: Java 21, Load-Balancer, G1-Collector</t>
  </si>
  <si>
    <t>Konfiguration: Java 24, kein Load-Balancer, G1-Collector</t>
  </si>
  <si>
    <t>Wir haben nur 2 Läufe, daher</t>
  </si>
  <si>
    <t>hier Daten für 1 und 2 identisch.</t>
  </si>
  <si>
    <t>Konfiguration: Java 21, Load-Balancer, Epsilon-Collector</t>
  </si>
  <si>
    <t>Konfiguration: Java 24, Load-Balancer, G1-Collector</t>
  </si>
  <si>
    <t>Konfiguration: Java 24, Load-Balancer, Epsilon-Collector</t>
  </si>
  <si>
    <t>Java-basierter Simulator auf NUC 15 Pro</t>
  </si>
  <si>
    <t>System: Core Ultra 5 225H (4x Performance Core, 8x Efficiency Core, 2x Low Power Core)</t>
  </si>
  <si>
    <t>Konfiguration: Java 25, kein Load-Balancer, G1-Collector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</si>
</sst>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4" fontId="0" fillId="0" borderId="0" xfId="0" applyNumberFormat="1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5" fillId="0" borderId="0" xfId="0" applyNumberFormat="1" applyFont="1"/>
    <xf numFmtId="0" fontId="4" fillId="0" borderId="0" xfId="0" applyFont="1" applyAlignment="1">
      <alignment horizontal="center"/>
    </xf>
    <xf numFmtId="0" fontId="0" fillId="6" borderId="0" xfId="0" applyFill="1"/>
    <xf numFmtId="3" fontId="7" fillId="0" borderId="0" xfId="0" applyNumberFormat="1" applyFont="1"/>
    <xf numFmtId="0" fontId="4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3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'J21-fix-G1'!$O$9:$O$88</c:f>
              <c:numCache>
                <c:formatCode>0.00</c:formatCode>
                <c:ptCount val="80"/>
                <c:pt idx="0">
                  <c:v>11.687608716683185</c:v>
                </c:pt>
                <c:pt idx="1">
                  <c:v>23.105049907427443</c:v>
                </c:pt>
                <c:pt idx="2">
                  <c:v>34.104094243208245</c:v>
                </c:pt>
                <c:pt idx="3">
                  <c:v>45.277021459684278</c:v>
                </c:pt>
                <c:pt idx="4">
                  <c:v>57.951023811956176</c:v>
                </c:pt>
                <c:pt idx="5">
                  <c:v>70.896725794012482</c:v>
                </c:pt>
                <c:pt idx="6">
                  <c:v>82.859733490248161</c:v>
                </c:pt>
                <c:pt idx="7">
                  <c:v>94.752811483320116</c:v>
                </c:pt>
                <c:pt idx="8">
                  <c:v>103.5117947298953</c:v>
                </c:pt>
                <c:pt idx="9">
                  <c:v>117.83571042271436</c:v>
                </c:pt>
                <c:pt idx="10">
                  <c:v>127.78870992968895</c:v>
                </c:pt>
                <c:pt idx="11">
                  <c:v>134.04812723349448</c:v>
                </c:pt>
                <c:pt idx="12">
                  <c:v>152.61621945640687</c:v>
                </c:pt>
                <c:pt idx="13">
                  <c:v>160.90869154401554</c:v>
                </c:pt>
                <c:pt idx="14">
                  <c:v>159.9272641063888</c:v>
                </c:pt>
                <c:pt idx="15">
                  <c:v>171.65140307874739</c:v>
                </c:pt>
                <c:pt idx="16">
                  <c:v>194.64610494810239</c:v>
                </c:pt>
                <c:pt idx="17">
                  <c:v>201.65845519834207</c:v>
                </c:pt>
                <c:pt idx="18">
                  <c:v>201.1984699317232</c:v>
                </c:pt>
                <c:pt idx="19">
                  <c:v>196.8304599883547</c:v>
                </c:pt>
                <c:pt idx="20">
                  <c:v>235.07306383663274</c:v>
                </c:pt>
                <c:pt idx="21">
                  <c:v>216.19776867148701</c:v>
                </c:pt>
                <c:pt idx="22">
                  <c:v>235.63420915738436</c:v>
                </c:pt>
                <c:pt idx="23">
                  <c:v>243.96838972386931</c:v>
                </c:pt>
                <c:pt idx="24">
                  <c:v>236.46727416385912</c:v>
                </c:pt>
                <c:pt idx="25">
                  <c:v>255.1410577786728</c:v>
                </c:pt>
                <c:pt idx="26">
                  <c:v>248.11172481951306</c:v>
                </c:pt>
                <c:pt idx="27">
                  <c:v>265.8178703007618</c:v>
                </c:pt>
                <c:pt idx="28">
                  <c:v>249.11387197586836</c:v>
                </c:pt>
                <c:pt idx="29">
                  <c:v>274.53656230421404</c:v>
                </c:pt>
                <c:pt idx="30">
                  <c:v>275.23918429582841</c:v>
                </c:pt>
                <c:pt idx="31">
                  <c:v>254.58379740849475</c:v>
                </c:pt>
                <c:pt idx="32">
                  <c:v>160.22838307574403</c:v>
                </c:pt>
                <c:pt idx="33">
                  <c:v>98.513964660534427</c:v>
                </c:pt>
                <c:pt idx="34">
                  <c:v>75.232783205533565</c:v>
                </c:pt>
                <c:pt idx="35">
                  <c:v>63.048584355643037</c:v>
                </c:pt>
                <c:pt idx="36">
                  <c:v>153.66720617554037</c:v>
                </c:pt>
                <c:pt idx="37">
                  <c:v>146.75699236496649</c:v>
                </c:pt>
                <c:pt idx="38">
                  <c:v>255.56403783420714</c:v>
                </c:pt>
                <c:pt idx="39">
                  <c:v>50.892271550151371</c:v>
                </c:pt>
                <c:pt idx="40">
                  <c:v>44.47014878739089</c:v>
                </c:pt>
                <c:pt idx="41">
                  <c:v>45.965274907475134</c:v>
                </c:pt>
                <c:pt idx="42">
                  <c:v>165.20090311044035</c:v>
                </c:pt>
                <c:pt idx="43">
                  <c:v>47.226836180625654</c:v>
                </c:pt>
                <c:pt idx="44">
                  <c:v>285.39831940240776</c:v>
                </c:pt>
                <c:pt idx="45">
                  <c:v>70.805529956280481</c:v>
                </c:pt>
                <c:pt idx="46">
                  <c:v>126.18209275960089</c:v>
                </c:pt>
                <c:pt idx="47">
                  <c:v>62.838733674707662</c:v>
                </c:pt>
                <c:pt idx="48">
                  <c:v>145.1333320619423</c:v>
                </c:pt>
                <c:pt idx="49">
                  <c:v>56.404161088013673</c:v>
                </c:pt>
                <c:pt idx="50">
                  <c:v>30.856197289439333</c:v>
                </c:pt>
                <c:pt idx="51">
                  <c:v>143.90260707227614</c:v>
                </c:pt>
                <c:pt idx="52">
                  <c:v>139.56114834716843</c:v>
                </c:pt>
                <c:pt idx="53">
                  <c:v>160.67832533238402</c:v>
                </c:pt>
                <c:pt idx="54">
                  <c:v>125.88327023039908</c:v>
                </c:pt>
                <c:pt idx="55">
                  <c:v>87.666668191976385</c:v>
                </c:pt>
                <c:pt idx="56">
                  <c:v>177.48958862306156</c:v>
                </c:pt>
                <c:pt idx="57">
                  <c:v>114.49813351022415</c:v>
                </c:pt>
                <c:pt idx="58">
                  <c:v>157.24428595310724</c:v>
                </c:pt>
                <c:pt idx="59">
                  <c:v>172.93037288837326</c:v>
                </c:pt>
                <c:pt idx="60">
                  <c:v>88.439267662294128</c:v>
                </c:pt>
                <c:pt idx="61">
                  <c:v>241.94260021413632</c:v>
                </c:pt>
                <c:pt idx="62">
                  <c:v>113.34214541909746</c:v>
                </c:pt>
                <c:pt idx="63">
                  <c:v>219.63564923240153</c:v>
                </c:pt>
                <c:pt idx="64">
                  <c:v>174.21176045510921</c:v>
                </c:pt>
                <c:pt idx="65">
                  <c:v>165.8756995362406</c:v>
                </c:pt>
                <c:pt idx="66">
                  <c:v>197.68442055225466</c:v>
                </c:pt>
                <c:pt idx="67">
                  <c:v>197.98033014302015</c:v>
                </c:pt>
                <c:pt idx="68">
                  <c:v>171.79011343694984</c:v>
                </c:pt>
                <c:pt idx="69">
                  <c:v>246.54848563766205</c:v>
                </c:pt>
                <c:pt idx="70">
                  <c:v>180.24387282349682</c:v>
                </c:pt>
                <c:pt idx="71">
                  <c:v>169.89758545292304</c:v>
                </c:pt>
                <c:pt idx="72">
                  <c:v>134.35046043598891</c:v>
                </c:pt>
                <c:pt idx="73">
                  <c:v>276.5351349776198</c:v>
                </c:pt>
                <c:pt idx="74">
                  <c:v>315.62947550102143</c:v>
                </c:pt>
                <c:pt idx="75">
                  <c:v>267.95109346917764</c:v>
                </c:pt>
                <c:pt idx="76">
                  <c:v>232.30306733288896</c:v>
                </c:pt>
                <c:pt idx="77">
                  <c:v>181.67710216230068</c:v>
                </c:pt>
                <c:pt idx="78">
                  <c:v>346.14853905408734</c:v>
                </c:pt>
                <c:pt idx="79">
                  <c:v>239.04779081027564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5-44A3-AA56-4085F90623B7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'J21-fix-G1'!$Q$9:$Q$88</c:f>
              <c:numCache>
                <c:formatCode>0.00</c:formatCode>
                <c:ptCount val="80"/>
                <c:pt idx="0">
                  <c:v>11.687608716683185</c:v>
                </c:pt>
                <c:pt idx="1">
                  <c:v>23.37521743336637</c:v>
                </c:pt>
                <c:pt idx="2">
                  <c:v>35.062826150049553</c:v>
                </c:pt>
                <c:pt idx="3">
                  <c:v>46.750434866732739</c:v>
                </c:pt>
                <c:pt idx="4">
                  <c:v>58.438043583415926</c:v>
                </c:pt>
                <c:pt idx="5">
                  <c:v>70.125652300099105</c:v>
                </c:pt>
                <c:pt idx="6">
                  <c:v>81.813261016782292</c:v>
                </c:pt>
                <c:pt idx="7">
                  <c:v>93.500869733465478</c:v>
                </c:pt>
                <c:pt idx="8">
                  <c:v>105.18847845014865</c:v>
                </c:pt>
                <c:pt idx="9">
                  <c:v>116.87608716683185</c:v>
                </c:pt>
                <c:pt idx="10">
                  <c:v>128.56369588351504</c:v>
                </c:pt>
                <c:pt idx="11">
                  <c:v>140.25130460019821</c:v>
                </c:pt>
                <c:pt idx="12">
                  <c:v>151.93891331688138</c:v>
                </c:pt>
                <c:pt idx="13">
                  <c:v>163.62652203356458</c:v>
                </c:pt>
                <c:pt idx="14">
                  <c:v>175.31413075024778</c:v>
                </c:pt>
                <c:pt idx="15">
                  <c:v>187.00173946693096</c:v>
                </c:pt>
                <c:pt idx="16">
                  <c:v>198.68934818361413</c:v>
                </c:pt>
                <c:pt idx="17">
                  <c:v>210.3769569002973</c:v>
                </c:pt>
                <c:pt idx="18">
                  <c:v>222.06456561698053</c:v>
                </c:pt>
                <c:pt idx="19">
                  <c:v>233.7521743336637</c:v>
                </c:pt>
                <c:pt idx="20">
                  <c:v>245.43978305034688</c:v>
                </c:pt>
                <c:pt idx="21">
                  <c:v>257.12739176703008</c:v>
                </c:pt>
                <c:pt idx="22">
                  <c:v>268.81500048371328</c:v>
                </c:pt>
                <c:pt idx="23">
                  <c:v>280.50260920039642</c:v>
                </c:pt>
                <c:pt idx="24">
                  <c:v>292.19021791707962</c:v>
                </c:pt>
                <c:pt idx="25">
                  <c:v>303.87782663376277</c:v>
                </c:pt>
                <c:pt idx="26">
                  <c:v>315.56543535044597</c:v>
                </c:pt>
                <c:pt idx="27">
                  <c:v>327.25304406712917</c:v>
                </c:pt>
                <c:pt idx="28">
                  <c:v>338.94065278381237</c:v>
                </c:pt>
                <c:pt idx="29">
                  <c:v>350.62826150049557</c:v>
                </c:pt>
                <c:pt idx="30">
                  <c:v>362.31587021717871</c:v>
                </c:pt>
                <c:pt idx="31">
                  <c:v>374.00347893386191</c:v>
                </c:pt>
                <c:pt idx="32">
                  <c:v>378.67852242053522</c:v>
                </c:pt>
                <c:pt idx="33">
                  <c:v>383.35356590720846</c:v>
                </c:pt>
                <c:pt idx="34">
                  <c:v>388.02860939388177</c:v>
                </c:pt>
                <c:pt idx="35">
                  <c:v>392.70365288055501</c:v>
                </c:pt>
                <c:pt idx="36">
                  <c:v>397.37869636722826</c:v>
                </c:pt>
                <c:pt idx="37">
                  <c:v>402.05373985390156</c:v>
                </c:pt>
                <c:pt idx="38">
                  <c:v>406.72878334057486</c:v>
                </c:pt>
                <c:pt idx="39">
                  <c:v>411.40382682724811</c:v>
                </c:pt>
                <c:pt idx="40">
                  <c:v>416.07887031392141</c:v>
                </c:pt>
                <c:pt idx="41">
                  <c:v>420.75391380059466</c:v>
                </c:pt>
                <c:pt idx="42">
                  <c:v>425.42895728726791</c:v>
                </c:pt>
                <c:pt idx="43">
                  <c:v>430.10400077394121</c:v>
                </c:pt>
                <c:pt idx="44">
                  <c:v>434.77904426061446</c:v>
                </c:pt>
                <c:pt idx="45">
                  <c:v>439.45408774728776</c:v>
                </c:pt>
                <c:pt idx="46">
                  <c:v>444.12913123396106</c:v>
                </c:pt>
                <c:pt idx="47">
                  <c:v>448.80417472063431</c:v>
                </c:pt>
                <c:pt idx="48">
                  <c:v>453.47921820730755</c:v>
                </c:pt>
                <c:pt idx="49">
                  <c:v>458.1542616939808</c:v>
                </c:pt>
                <c:pt idx="50">
                  <c:v>462.8293051806541</c:v>
                </c:pt>
                <c:pt idx="51">
                  <c:v>467.50434866732741</c:v>
                </c:pt>
                <c:pt idx="52">
                  <c:v>472.17939215400065</c:v>
                </c:pt>
                <c:pt idx="53">
                  <c:v>476.85443564067396</c:v>
                </c:pt>
                <c:pt idx="54">
                  <c:v>481.52947912734726</c:v>
                </c:pt>
                <c:pt idx="55">
                  <c:v>486.20452261402045</c:v>
                </c:pt>
                <c:pt idx="56">
                  <c:v>490.87956610069375</c:v>
                </c:pt>
                <c:pt idx="57">
                  <c:v>495.55460958736705</c:v>
                </c:pt>
                <c:pt idx="58">
                  <c:v>500.2296530740403</c:v>
                </c:pt>
                <c:pt idx="59">
                  <c:v>504.9046965607136</c:v>
                </c:pt>
                <c:pt idx="60">
                  <c:v>509.57974004738691</c:v>
                </c:pt>
                <c:pt idx="61">
                  <c:v>514.25478353406015</c:v>
                </c:pt>
                <c:pt idx="62">
                  <c:v>518.92982702073334</c:v>
                </c:pt>
                <c:pt idx="63">
                  <c:v>523.60487050740676</c:v>
                </c:pt>
                <c:pt idx="64">
                  <c:v>523.60487050740676</c:v>
                </c:pt>
                <c:pt idx="65">
                  <c:v>523.60487050740676</c:v>
                </c:pt>
                <c:pt idx="66">
                  <c:v>523.60487050740676</c:v>
                </c:pt>
                <c:pt idx="67">
                  <c:v>523.60487050740676</c:v>
                </c:pt>
                <c:pt idx="68">
                  <c:v>523.60487050740676</c:v>
                </c:pt>
                <c:pt idx="69">
                  <c:v>523.60487050740676</c:v>
                </c:pt>
                <c:pt idx="70">
                  <c:v>523.60487050740676</c:v>
                </c:pt>
                <c:pt idx="71">
                  <c:v>523.60487050740676</c:v>
                </c:pt>
                <c:pt idx="72">
                  <c:v>523.60487050740676</c:v>
                </c:pt>
                <c:pt idx="73">
                  <c:v>523.60487050740676</c:v>
                </c:pt>
                <c:pt idx="74">
                  <c:v>523.60487050740676</c:v>
                </c:pt>
                <c:pt idx="75">
                  <c:v>523.60487050740676</c:v>
                </c:pt>
                <c:pt idx="76">
                  <c:v>523.60487050740676</c:v>
                </c:pt>
                <c:pt idx="77">
                  <c:v>523.60487050740676</c:v>
                </c:pt>
                <c:pt idx="78">
                  <c:v>523.60487050740676</c:v>
                </c:pt>
                <c:pt idx="79">
                  <c:v>523.60487050740676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5-44A3-AA56-4085F9062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5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'J21-fix-G1'!$P$9:$P$88</c:f>
              <c:numCache>
                <c:formatCode>0.00</c:formatCode>
                <c:ptCount val="80"/>
                <c:pt idx="0">
                  <c:v>11.687608716683185</c:v>
                </c:pt>
                <c:pt idx="1">
                  <c:v>11.552524953713721</c:v>
                </c:pt>
                <c:pt idx="2">
                  <c:v>11.368031414402747</c:v>
                </c:pt>
                <c:pt idx="3">
                  <c:v>11.319255364921069</c:v>
                </c:pt>
                <c:pt idx="4">
                  <c:v>11.590204762391235</c:v>
                </c:pt>
                <c:pt idx="5">
                  <c:v>11.816120965668746</c:v>
                </c:pt>
                <c:pt idx="6">
                  <c:v>11.837104784321166</c:v>
                </c:pt>
                <c:pt idx="7">
                  <c:v>11.844101435415014</c:v>
                </c:pt>
                <c:pt idx="8">
                  <c:v>11.501310525543921</c:v>
                </c:pt>
                <c:pt idx="9">
                  <c:v>11.783571042271435</c:v>
                </c:pt>
                <c:pt idx="10">
                  <c:v>11.617155448153541</c:v>
                </c:pt>
                <c:pt idx="11">
                  <c:v>11.170677269457874</c:v>
                </c:pt>
                <c:pt idx="12">
                  <c:v>11.739709188954373</c:v>
                </c:pt>
                <c:pt idx="13">
                  <c:v>11.493477967429683</c:v>
                </c:pt>
                <c:pt idx="14">
                  <c:v>10.661817607092587</c:v>
                </c:pt>
                <c:pt idx="15">
                  <c:v>10.728212692421712</c:v>
                </c:pt>
                <c:pt idx="16">
                  <c:v>11.449770879300139</c:v>
                </c:pt>
                <c:pt idx="17">
                  <c:v>11.203247511019004</c:v>
                </c:pt>
                <c:pt idx="18">
                  <c:v>10.589393154301218</c:v>
                </c:pt>
                <c:pt idx="19">
                  <c:v>9.8415229994177373</c:v>
                </c:pt>
                <c:pt idx="20">
                  <c:v>11.193955420792035</c:v>
                </c:pt>
                <c:pt idx="21">
                  <c:v>9.8271713032494112</c:v>
                </c:pt>
                <c:pt idx="22">
                  <c:v>10.244965615538449</c:v>
                </c:pt>
                <c:pt idx="23">
                  <c:v>10.165349571827887</c:v>
                </c:pt>
                <c:pt idx="24">
                  <c:v>9.4586909665543644</c:v>
                </c:pt>
                <c:pt idx="25">
                  <c:v>9.8131176068720301</c:v>
                </c:pt>
                <c:pt idx="26">
                  <c:v>9.1893231414634453</c:v>
                </c:pt>
                <c:pt idx="27">
                  <c:v>9.4934953678843499</c:v>
                </c:pt>
                <c:pt idx="28">
                  <c:v>8.5901335164092547</c:v>
                </c:pt>
                <c:pt idx="29">
                  <c:v>9.1512187434738035</c:v>
                </c:pt>
                <c:pt idx="30">
                  <c:v>8.8786833643815619</c:v>
                </c:pt>
                <c:pt idx="31">
                  <c:v>7.9557436690154608</c:v>
                </c:pt>
                <c:pt idx="32">
                  <c:v>4.8554055477498181</c:v>
                </c:pt>
                <c:pt idx="33">
                  <c:v>2.8974695488392483</c:v>
                </c:pt>
                <c:pt idx="34">
                  <c:v>2.1495080915866738</c:v>
                </c:pt>
                <c:pt idx="35">
                  <c:v>1.7513495654345286</c:v>
                </c:pt>
                <c:pt idx="36">
                  <c:v>4.1531677344740645</c:v>
                </c:pt>
                <c:pt idx="37">
                  <c:v>3.8620261148675388</c:v>
                </c:pt>
                <c:pt idx="38">
                  <c:v>6.5529240470309515</c:v>
                </c:pt>
                <c:pt idx="39">
                  <c:v>1.2723067887537842</c:v>
                </c:pt>
                <c:pt idx="40">
                  <c:v>1.0846377753022167</c:v>
                </c:pt>
                <c:pt idx="41">
                  <c:v>1.0944113073208364</c:v>
                </c:pt>
                <c:pt idx="42">
                  <c:v>3.8418814676846598</c:v>
                </c:pt>
                <c:pt idx="43">
                  <c:v>1.0733371859233107</c:v>
                </c:pt>
                <c:pt idx="44">
                  <c:v>6.3421848756090613</c:v>
                </c:pt>
                <c:pt idx="45">
                  <c:v>1.5392506512234889</c:v>
                </c:pt>
                <c:pt idx="46">
                  <c:v>2.684725377863848</c:v>
                </c:pt>
                <c:pt idx="47">
                  <c:v>1.3091402848897427</c:v>
                </c:pt>
                <c:pt idx="48">
                  <c:v>2.9619047359580062</c:v>
                </c:pt>
                <c:pt idx="49">
                  <c:v>1.1280832217602732</c:v>
                </c:pt>
                <c:pt idx="50">
                  <c:v>0.60502347626351627</c:v>
                </c:pt>
                <c:pt idx="51">
                  <c:v>2.7673578283130027</c:v>
                </c:pt>
                <c:pt idx="52">
                  <c:v>2.6332292140975171</c:v>
                </c:pt>
                <c:pt idx="53">
                  <c:v>2.9755245431922974</c:v>
                </c:pt>
                <c:pt idx="54">
                  <c:v>2.2887867314618009</c:v>
                </c:pt>
                <c:pt idx="55">
                  <c:v>1.5654762177138639</c:v>
                </c:pt>
                <c:pt idx="56">
                  <c:v>3.1138524319835366</c:v>
                </c:pt>
                <c:pt idx="57">
                  <c:v>1.9741057501762782</c:v>
                </c:pt>
                <c:pt idx="58">
                  <c:v>2.6651573890357159</c:v>
                </c:pt>
                <c:pt idx="59">
                  <c:v>2.8821728814728877</c:v>
                </c:pt>
                <c:pt idx="60">
                  <c:v>1.4498240600376084</c:v>
                </c:pt>
                <c:pt idx="61">
                  <c:v>3.9023000034538118</c:v>
                </c:pt>
                <c:pt idx="62">
                  <c:v>1.7990816733190076</c:v>
                </c:pt>
                <c:pt idx="63">
                  <c:v>3.431807019256274</c:v>
                </c:pt>
                <c:pt idx="64">
                  <c:v>2.680180930078603</c:v>
                </c:pt>
                <c:pt idx="65">
                  <c:v>2.513268174791524</c:v>
                </c:pt>
                <c:pt idx="66">
                  <c:v>2.9505137395858916</c:v>
                </c:pt>
                <c:pt idx="67">
                  <c:v>2.9114754432797083</c:v>
                </c:pt>
                <c:pt idx="68">
                  <c:v>2.4897117889413019</c:v>
                </c:pt>
                <c:pt idx="69">
                  <c:v>3.5221212233951724</c:v>
                </c:pt>
                <c:pt idx="70">
                  <c:v>2.5386460961055888</c:v>
                </c:pt>
                <c:pt idx="71">
                  <c:v>2.3596886868461535</c:v>
                </c:pt>
                <c:pt idx="72">
                  <c:v>1.8404172662464231</c:v>
                </c:pt>
                <c:pt idx="73">
                  <c:v>3.7369612834813495</c:v>
                </c:pt>
                <c:pt idx="74">
                  <c:v>4.2083930066802866</c:v>
                </c:pt>
                <c:pt idx="75">
                  <c:v>3.5256722824891793</c:v>
                </c:pt>
                <c:pt idx="76">
                  <c:v>3.016922952375181</c:v>
                </c:pt>
                <c:pt idx="77">
                  <c:v>2.3291936174653931</c:v>
                </c:pt>
                <c:pt idx="78">
                  <c:v>4.3816270766340164</c:v>
                </c:pt>
                <c:pt idx="79">
                  <c:v>2.9880973851284445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F-4328-9100-98B9B312B3F2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'J21-fix-G1'!$R$9:$R$88</c:f>
              <c:numCache>
                <c:formatCode>0.00</c:formatCode>
                <c:ptCount val="80"/>
                <c:pt idx="0">
                  <c:v>11.687608716683185</c:v>
                </c:pt>
                <c:pt idx="1">
                  <c:v>11.687608716683185</c:v>
                </c:pt>
                <c:pt idx="2">
                  <c:v>11.687608716683185</c:v>
                </c:pt>
                <c:pt idx="3">
                  <c:v>11.687608716683185</c:v>
                </c:pt>
                <c:pt idx="4">
                  <c:v>11.687608716683185</c:v>
                </c:pt>
                <c:pt idx="5">
                  <c:v>11.687608716683185</c:v>
                </c:pt>
                <c:pt idx="6">
                  <c:v>11.687608716683185</c:v>
                </c:pt>
                <c:pt idx="7">
                  <c:v>11.687608716683185</c:v>
                </c:pt>
                <c:pt idx="8">
                  <c:v>11.687608716683185</c:v>
                </c:pt>
                <c:pt idx="9">
                  <c:v>11.687608716683185</c:v>
                </c:pt>
                <c:pt idx="10">
                  <c:v>11.687608716683185</c:v>
                </c:pt>
                <c:pt idx="11">
                  <c:v>11.687608716683185</c:v>
                </c:pt>
                <c:pt idx="12">
                  <c:v>11.687608716683183</c:v>
                </c:pt>
                <c:pt idx="13">
                  <c:v>11.687608716683185</c:v>
                </c:pt>
                <c:pt idx="14">
                  <c:v>11.687608716683185</c:v>
                </c:pt>
                <c:pt idx="15">
                  <c:v>11.687608716683185</c:v>
                </c:pt>
                <c:pt idx="16">
                  <c:v>11.687608716683185</c:v>
                </c:pt>
                <c:pt idx="17">
                  <c:v>11.687608716683185</c:v>
                </c:pt>
                <c:pt idx="18">
                  <c:v>11.687608716683185</c:v>
                </c:pt>
                <c:pt idx="19">
                  <c:v>11.687608716683185</c:v>
                </c:pt>
                <c:pt idx="20">
                  <c:v>11.687608716683185</c:v>
                </c:pt>
                <c:pt idx="21">
                  <c:v>11.687608716683185</c:v>
                </c:pt>
                <c:pt idx="22">
                  <c:v>11.687608716683185</c:v>
                </c:pt>
                <c:pt idx="23">
                  <c:v>11.687608716683185</c:v>
                </c:pt>
                <c:pt idx="24">
                  <c:v>11.687608716683185</c:v>
                </c:pt>
                <c:pt idx="25">
                  <c:v>11.687608716683183</c:v>
                </c:pt>
                <c:pt idx="26">
                  <c:v>11.687608716683185</c:v>
                </c:pt>
                <c:pt idx="27">
                  <c:v>11.687608716683185</c:v>
                </c:pt>
                <c:pt idx="28">
                  <c:v>11.687608716683185</c:v>
                </c:pt>
                <c:pt idx="29">
                  <c:v>11.687608716683185</c:v>
                </c:pt>
                <c:pt idx="30">
                  <c:v>11.687608716683185</c:v>
                </c:pt>
                <c:pt idx="31">
                  <c:v>11.687608716683185</c:v>
                </c:pt>
                <c:pt idx="32">
                  <c:v>11.475106740016217</c:v>
                </c:pt>
                <c:pt idx="33">
                  <c:v>11.275104879623779</c:v>
                </c:pt>
                <c:pt idx="34">
                  <c:v>11.086531696968049</c:v>
                </c:pt>
                <c:pt idx="35">
                  <c:v>10.90843480223764</c:v>
                </c:pt>
                <c:pt idx="36">
                  <c:v>10.739964766681844</c:v>
                </c:pt>
                <c:pt idx="37">
                  <c:v>10.580361575102671</c:v>
                </c:pt>
                <c:pt idx="38">
                  <c:v>10.428943162578841</c:v>
                </c:pt>
                <c:pt idx="39">
                  <c:v>10.285095670681203</c:v>
                </c:pt>
                <c:pt idx="40">
                  <c:v>10.148265129607839</c:v>
                </c:pt>
                <c:pt idx="41">
                  <c:v>10.017950328585588</c:v>
                </c:pt>
                <c:pt idx="42">
                  <c:v>9.8936966810992555</c:v>
                </c:pt>
                <c:pt idx="43">
                  <c:v>9.7750909266804822</c:v>
                </c:pt>
                <c:pt idx="44">
                  <c:v>9.6617565391247666</c:v>
                </c:pt>
                <c:pt idx="45">
                  <c:v>9.5533497336366899</c:v>
                </c:pt>
                <c:pt idx="46">
                  <c:v>9.4495559837012983</c:v>
                </c:pt>
                <c:pt idx="47">
                  <c:v>9.3500869733465475</c:v>
                </c:pt>
                <c:pt idx="48">
                  <c:v>9.2546779225981144</c:v>
                </c:pt>
                <c:pt idx="49">
                  <c:v>9.1630852338796167</c:v>
                </c:pt>
                <c:pt idx="50">
                  <c:v>9.075084415306943</c:v>
                </c:pt>
                <c:pt idx="51">
                  <c:v>8.9904682436024501</c:v>
                </c:pt>
                <c:pt idx="52">
                  <c:v>8.9090451349811435</c:v>
                </c:pt>
                <c:pt idx="53">
                  <c:v>8.830637697049518</c:v>
                </c:pt>
                <c:pt idx="54">
                  <c:v>8.7550814386790421</c:v>
                </c:pt>
                <c:pt idx="55">
                  <c:v>8.6822236181075088</c:v>
                </c:pt>
                <c:pt idx="56">
                  <c:v>8.6119222122928729</c:v>
                </c:pt>
                <c:pt idx="57">
                  <c:v>8.5440449928856381</c:v>
                </c:pt>
                <c:pt idx="58">
                  <c:v>8.4784686961701734</c:v>
                </c:pt>
                <c:pt idx="59">
                  <c:v>8.4150782760118936</c:v>
                </c:pt>
                <c:pt idx="60">
                  <c:v>8.3537662302850304</c:v>
                </c:pt>
                <c:pt idx="61">
                  <c:v>8.2944319924848404</c:v>
                </c:pt>
                <c:pt idx="62">
                  <c:v>8.2369813812814829</c:v>
                </c:pt>
                <c:pt idx="63">
                  <c:v>8.1813261016782306</c:v>
                </c:pt>
                <c:pt idx="64">
                  <c:v>8.0554595462677963</c:v>
                </c:pt>
                <c:pt idx="65">
                  <c:v>7.9334071289001011</c:v>
                </c:pt>
                <c:pt idx="66">
                  <c:v>7.8149980672747272</c:v>
                </c:pt>
                <c:pt idx="67">
                  <c:v>7.7000716251089223</c:v>
                </c:pt>
                <c:pt idx="68">
                  <c:v>7.5884763841653147</c:v>
                </c:pt>
                <c:pt idx="69">
                  <c:v>7.4800695786772389</c:v>
                </c:pt>
                <c:pt idx="70">
                  <c:v>7.3747164860198122</c:v>
                </c:pt>
                <c:pt idx="71">
                  <c:v>7.2722898681584258</c:v>
                </c:pt>
                <c:pt idx="72">
                  <c:v>7.1726694590055713</c:v>
                </c:pt>
                <c:pt idx="73">
                  <c:v>7.075741493343334</c:v>
                </c:pt>
                <c:pt idx="74">
                  <c:v>6.9813982734320899</c:v>
                </c:pt>
                <c:pt idx="75">
                  <c:v>6.8895377698342983</c:v>
                </c:pt>
                <c:pt idx="76">
                  <c:v>6.8000632533429446</c:v>
                </c:pt>
                <c:pt idx="77">
                  <c:v>6.7128829552231624</c:v>
                </c:pt>
                <c:pt idx="78">
                  <c:v>6.6279097532583133</c:v>
                </c:pt>
                <c:pt idx="79">
                  <c:v>6.5450608813425841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F-4328-9100-98B9B312B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'J21-dyn-G1'!$O$9:$O$88</c:f>
              <c:numCache>
                <c:formatCode>0.00</c:formatCode>
                <c:ptCount val="80"/>
                <c:pt idx="0">
                  <c:v>11.476828903894713</c:v>
                </c:pt>
                <c:pt idx="1">
                  <c:v>23.203691610627274</c:v>
                </c:pt>
                <c:pt idx="2">
                  <c:v>34.380758967388907</c:v>
                </c:pt>
                <c:pt idx="3">
                  <c:v>45.732069507169911</c:v>
                </c:pt>
                <c:pt idx="4">
                  <c:v>56.525801392616039</c:v>
                </c:pt>
                <c:pt idx="5">
                  <c:v>69.876034533979933</c:v>
                </c:pt>
                <c:pt idx="6">
                  <c:v>81.915742280802888</c:v>
                </c:pt>
                <c:pt idx="7">
                  <c:v>94.06548924174156</c:v>
                </c:pt>
                <c:pt idx="8">
                  <c:v>104.45193316554023</c:v>
                </c:pt>
                <c:pt idx="9">
                  <c:v>114.88893902442747</c:v>
                </c:pt>
                <c:pt idx="10">
                  <c:v>127.0358780270595</c:v>
                </c:pt>
                <c:pt idx="11">
                  <c:v>140.57439325286995</c:v>
                </c:pt>
                <c:pt idx="12">
                  <c:v>151.63539549544427</c:v>
                </c:pt>
                <c:pt idx="13">
                  <c:v>164.87968980715294</c:v>
                </c:pt>
                <c:pt idx="14">
                  <c:v>174.61655279979598</c:v>
                </c:pt>
                <c:pt idx="15">
                  <c:v>187.72435361885408</c:v>
                </c:pt>
                <c:pt idx="16">
                  <c:v>198.95569191599489</c:v>
                </c:pt>
                <c:pt idx="17">
                  <c:v>211.15160784189686</c:v>
                </c:pt>
                <c:pt idx="18">
                  <c:v>222.2983142476873</c:v>
                </c:pt>
                <c:pt idx="19">
                  <c:v>233.29457812679354</c:v>
                </c:pt>
                <c:pt idx="20">
                  <c:v>241.89885423663364</c:v>
                </c:pt>
                <c:pt idx="21">
                  <c:v>256.71067594669302</c:v>
                </c:pt>
                <c:pt idx="22">
                  <c:v>269.23708568646356</c:v>
                </c:pt>
                <c:pt idx="23">
                  <c:v>277.59855942150335</c:v>
                </c:pt>
                <c:pt idx="24">
                  <c:v>291.32166887267249</c:v>
                </c:pt>
                <c:pt idx="25">
                  <c:v>301.62521241722305</c:v>
                </c:pt>
                <c:pt idx="26">
                  <c:v>312.27412802435759</c:v>
                </c:pt>
                <c:pt idx="27">
                  <c:v>327.74861322656017</c:v>
                </c:pt>
                <c:pt idx="28">
                  <c:v>334.7670218049808</c:v>
                </c:pt>
                <c:pt idx="29">
                  <c:v>349.66917335983163</c:v>
                </c:pt>
                <c:pt idx="30">
                  <c:v>359.65170488516503</c:v>
                </c:pt>
                <c:pt idx="31">
                  <c:v>371.72638644922466</c:v>
                </c:pt>
                <c:pt idx="32">
                  <c:v>373.09269923348506</c:v>
                </c:pt>
                <c:pt idx="33">
                  <c:v>382.56651985079066</c:v>
                </c:pt>
                <c:pt idx="34">
                  <c:v>378.75220516852829</c:v>
                </c:pt>
                <c:pt idx="35">
                  <c:v>387.27307017800615</c:v>
                </c:pt>
                <c:pt idx="36">
                  <c:v>392.0465567391052</c:v>
                </c:pt>
                <c:pt idx="37">
                  <c:v>398.19260798764151</c:v>
                </c:pt>
                <c:pt idx="38">
                  <c:v>398.19782782394958</c:v>
                </c:pt>
                <c:pt idx="39">
                  <c:v>403.43435836819555</c:v>
                </c:pt>
                <c:pt idx="40">
                  <c:v>402.00524045000952</c:v>
                </c:pt>
                <c:pt idx="41">
                  <c:v>410.90409183413044</c:v>
                </c:pt>
                <c:pt idx="42">
                  <c:v>409.6897836176359</c:v>
                </c:pt>
                <c:pt idx="43">
                  <c:v>420.36535974345901</c:v>
                </c:pt>
                <c:pt idx="44">
                  <c:v>417.2679091775301</c:v>
                </c:pt>
                <c:pt idx="45">
                  <c:v>418.69945201777108</c:v>
                </c:pt>
                <c:pt idx="46">
                  <c:v>406.73127677408394</c:v>
                </c:pt>
                <c:pt idx="47">
                  <c:v>416.37494411542031</c:v>
                </c:pt>
                <c:pt idx="48">
                  <c:v>400.32614595486422</c:v>
                </c:pt>
                <c:pt idx="49">
                  <c:v>400.90144916433019</c:v>
                </c:pt>
                <c:pt idx="50">
                  <c:v>412.74856410199118</c:v>
                </c:pt>
                <c:pt idx="51">
                  <c:v>351.79925543322929</c:v>
                </c:pt>
                <c:pt idx="52">
                  <c:v>332.77025167621338</c:v>
                </c:pt>
                <c:pt idx="53">
                  <c:v>341.56688741534913</c:v>
                </c:pt>
                <c:pt idx="54">
                  <c:v>406.11970245836977</c:v>
                </c:pt>
                <c:pt idx="55">
                  <c:v>346.39609556989348</c:v>
                </c:pt>
                <c:pt idx="56">
                  <c:v>417.1637290579975</c:v>
                </c:pt>
                <c:pt idx="57">
                  <c:v>422.83890423052759</c:v>
                </c:pt>
                <c:pt idx="58">
                  <c:v>441.81727957052397</c:v>
                </c:pt>
                <c:pt idx="59">
                  <c:v>384.40528689837771</c:v>
                </c:pt>
                <c:pt idx="60">
                  <c:v>378.71224629926473</c:v>
                </c:pt>
                <c:pt idx="61">
                  <c:v>427.48770079549138</c:v>
                </c:pt>
                <c:pt idx="62">
                  <c:v>321.07565062236068</c:v>
                </c:pt>
                <c:pt idx="63">
                  <c:v>417.84829606428798</c:v>
                </c:pt>
                <c:pt idx="64">
                  <c:v>429.14317981684633</c:v>
                </c:pt>
                <c:pt idx="65">
                  <c:v>399.86916895846889</c:v>
                </c:pt>
                <c:pt idx="66">
                  <c:v>477.76839937897535</c:v>
                </c:pt>
                <c:pt idx="67">
                  <c:v>376.14813772311692</c:v>
                </c:pt>
                <c:pt idx="68">
                  <c:v>435.53689268019866</c:v>
                </c:pt>
                <c:pt idx="69">
                  <c:v>413.73602754642263</c:v>
                </c:pt>
                <c:pt idx="70">
                  <c:v>438.12977548088116</c:v>
                </c:pt>
                <c:pt idx="71">
                  <c:v>387.97660443717189</c:v>
                </c:pt>
                <c:pt idx="72">
                  <c:v>407.6556953827818</c:v>
                </c:pt>
                <c:pt idx="73">
                  <c:v>455.57076674007209</c:v>
                </c:pt>
                <c:pt idx="74">
                  <c:v>439.90429070723695</c:v>
                </c:pt>
                <c:pt idx="75">
                  <c:v>388.58699343316653</c:v>
                </c:pt>
                <c:pt idx="76">
                  <c:v>430.47982001843837</c:v>
                </c:pt>
                <c:pt idx="77">
                  <c:v>354.29039944078772</c:v>
                </c:pt>
                <c:pt idx="78">
                  <c:v>420.51214148907741</c:v>
                </c:pt>
                <c:pt idx="79">
                  <c:v>448.38840667457168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85-48DD-A5E8-9A13D32504B0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'J21-dyn-G1'!$Q$9:$Q$88</c:f>
              <c:numCache>
                <c:formatCode>0.00</c:formatCode>
                <c:ptCount val="80"/>
                <c:pt idx="0">
                  <c:v>11.476828903894713</c:v>
                </c:pt>
                <c:pt idx="1">
                  <c:v>22.953657807789426</c:v>
                </c:pt>
                <c:pt idx="2">
                  <c:v>34.430486711684139</c:v>
                </c:pt>
                <c:pt idx="3">
                  <c:v>45.907315615578852</c:v>
                </c:pt>
                <c:pt idx="4">
                  <c:v>57.384144519473566</c:v>
                </c:pt>
                <c:pt idx="5">
                  <c:v>68.860973423368279</c:v>
                </c:pt>
                <c:pt idx="6">
                  <c:v>80.337802327262992</c:v>
                </c:pt>
                <c:pt idx="7">
                  <c:v>91.814631231157705</c:v>
                </c:pt>
                <c:pt idx="8">
                  <c:v>103.29146013505242</c:v>
                </c:pt>
                <c:pt idx="9">
                  <c:v>114.76828903894713</c:v>
                </c:pt>
                <c:pt idx="10">
                  <c:v>126.24511794284184</c:v>
                </c:pt>
                <c:pt idx="11">
                  <c:v>137.72194684673656</c:v>
                </c:pt>
                <c:pt idx="12">
                  <c:v>149.19877575063128</c:v>
                </c:pt>
                <c:pt idx="13">
                  <c:v>160.67560465452598</c:v>
                </c:pt>
                <c:pt idx="14">
                  <c:v>172.15243355842068</c:v>
                </c:pt>
                <c:pt idx="15">
                  <c:v>183.62926246231541</c:v>
                </c:pt>
                <c:pt idx="16">
                  <c:v>195.10609136621014</c:v>
                </c:pt>
                <c:pt idx="17">
                  <c:v>206.58292027010484</c:v>
                </c:pt>
                <c:pt idx="18">
                  <c:v>218.05974917399953</c:v>
                </c:pt>
                <c:pt idx="19">
                  <c:v>229.53657807789426</c:v>
                </c:pt>
                <c:pt idx="20">
                  <c:v>241.01340698178896</c:v>
                </c:pt>
                <c:pt idx="21">
                  <c:v>252.49023588568369</c:v>
                </c:pt>
                <c:pt idx="22">
                  <c:v>263.96706478957839</c:v>
                </c:pt>
                <c:pt idx="23">
                  <c:v>275.44389369347311</c:v>
                </c:pt>
                <c:pt idx="24">
                  <c:v>286.92072259736784</c:v>
                </c:pt>
                <c:pt idx="25">
                  <c:v>298.39755150126257</c:v>
                </c:pt>
                <c:pt idx="26">
                  <c:v>309.87438040515724</c:v>
                </c:pt>
                <c:pt idx="27">
                  <c:v>321.35120930905197</c:v>
                </c:pt>
                <c:pt idx="28">
                  <c:v>332.82803821294664</c:v>
                </c:pt>
                <c:pt idx="29">
                  <c:v>344.30486711684136</c:v>
                </c:pt>
                <c:pt idx="30">
                  <c:v>355.78169602073609</c:v>
                </c:pt>
                <c:pt idx="31">
                  <c:v>367.25852492463082</c:v>
                </c:pt>
                <c:pt idx="32">
                  <c:v>371.84925648618872</c:v>
                </c:pt>
                <c:pt idx="33">
                  <c:v>376.43998804774662</c:v>
                </c:pt>
                <c:pt idx="34">
                  <c:v>381.03071960930447</c:v>
                </c:pt>
                <c:pt idx="35">
                  <c:v>385.62145117086237</c:v>
                </c:pt>
                <c:pt idx="36">
                  <c:v>390.21218273242027</c:v>
                </c:pt>
                <c:pt idx="37">
                  <c:v>394.80291429397818</c:v>
                </c:pt>
                <c:pt idx="38">
                  <c:v>399.39364585553602</c:v>
                </c:pt>
                <c:pt idx="39">
                  <c:v>403.98437741709387</c:v>
                </c:pt>
                <c:pt idx="40">
                  <c:v>408.57510897865177</c:v>
                </c:pt>
                <c:pt idx="41">
                  <c:v>413.16584054020967</c:v>
                </c:pt>
                <c:pt idx="42">
                  <c:v>417.75657210176752</c:v>
                </c:pt>
                <c:pt idx="43">
                  <c:v>422.34730366332542</c:v>
                </c:pt>
                <c:pt idx="44">
                  <c:v>426.93803522488332</c:v>
                </c:pt>
                <c:pt idx="45">
                  <c:v>431.52876678644122</c:v>
                </c:pt>
                <c:pt idx="46">
                  <c:v>436.11949834799907</c:v>
                </c:pt>
                <c:pt idx="47">
                  <c:v>440.71022990955697</c:v>
                </c:pt>
                <c:pt idx="48">
                  <c:v>445.30096147111487</c:v>
                </c:pt>
                <c:pt idx="49">
                  <c:v>449.89169303267278</c:v>
                </c:pt>
                <c:pt idx="50">
                  <c:v>454.48242459423068</c:v>
                </c:pt>
                <c:pt idx="51">
                  <c:v>459.07315615578852</c:v>
                </c:pt>
                <c:pt idx="52">
                  <c:v>463.66388771734643</c:v>
                </c:pt>
                <c:pt idx="53">
                  <c:v>468.25461927890433</c:v>
                </c:pt>
                <c:pt idx="54">
                  <c:v>472.84535084046223</c:v>
                </c:pt>
                <c:pt idx="55">
                  <c:v>477.43608240202008</c:v>
                </c:pt>
                <c:pt idx="56">
                  <c:v>482.02681396357798</c:v>
                </c:pt>
                <c:pt idx="57">
                  <c:v>486.61754552513588</c:v>
                </c:pt>
                <c:pt idx="58">
                  <c:v>491.20827708669378</c:v>
                </c:pt>
                <c:pt idx="59">
                  <c:v>495.79900864825163</c:v>
                </c:pt>
                <c:pt idx="60">
                  <c:v>500.38974020980947</c:v>
                </c:pt>
                <c:pt idx="61">
                  <c:v>504.98047177136738</c:v>
                </c:pt>
                <c:pt idx="62">
                  <c:v>509.57120333292528</c:v>
                </c:pt>
                <c:pt idx="63">
                  <c:v>514.16193489448312</c:v>
                </c:pt>
                <c:pt idx="64">
                  <c:v>514.16193489448312</c:v>
                </c:pt>
                <c:pt idx="65">
                  <c:v>514.16193489448312</c:v>
                </c:pt>
                <c:pt idx="66">
                  <c:v>514.16193489448312</c:v>
                </c:pt>
                <c:pt idx="67">
                  <c:v>514.16193489448312</c:v>
                </c:pt>
                <c:pt idx="68">
                  <c:v>514.16193489448312</c:v>
                </c:pt>
                <c:pt idx="69">
                  <c:v>514.16193489448312</c:v>
                </c:pt>
                <c:pt idx="70">
                  <c:v>514.16193489448312</c:v>
                </c:pt>
                <c:pt idx="71">
                  <c:v>514.16193489448312</c:v>
                </c:pt>
                <c:pt idx="72">
                  <c:v>514.16193489448312</c:v>
                </c:pt>
                <c:pt idx="73">
                  <c:v>514.16193489448312</c:v>
                </c:pt>
                <c:pt idx="74">
                  <c:v>514.16193489448312</c:v>
                </c:pt>
                <c:pt idx="75">
                  <c:v>514.16193489448312</c:v>
                </c:pt>
                <c:pt idx="76">
                  <c:v>514.16193489448312</c:v>
                </c:pt>
                <c:pt idx="77">
                  <c:v>514.16193489448312</c:v>
                </c:pt>
                <c:pt idx="78">
                  <c:v>514.16193489448312</c:v>
                </c:pt>
                <c:pt idx="79">
                  <c:v>514.16193489448312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85-48DD-A5E8-9A13D3250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5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'J21-dyn-G1'!$P$9:$P$88</c:f>
              <c:numCache>
                <c:formatCode>0.00</c:formatCode>
                <c:ptCount val="80"/>
                <c:pt idx="0">
                  <c:v>11.476828903894713</c:v>
                </c:pt>
                <c:pt idx="1">
                  <c:v>11.601845805313637</c:v>
                </c:pt>
                <c:pt idx="2">
                  <c:v>11.460252989129632</c:v>
                </c:pt>
                <c:pt idx="3">
                  <c:v>11.433017376792478</c:v>
                </c:pt>
                <c:pt idx="4">
                  <c:v>11.305160278523209</c:v>
                </c:pt>
                <c:pt idx="5">
                  <c:v>11.646005755663323</c:v>
                </c:pt>
                <c:pt idx="6">
                  <c:v>11.702248897257558</c:v>
                </c:pt>
                <c:pt idx="7">
                  <c:v>11.758186155217695</c:v>
                </c:pt>
                <c:pt idx="8">
                  <c:v>11.60577035172669</c:v>
                </c:pt>
                <c:pt idx="9">
                  <c:v>11.488893902442747</c:v>
                </c:pt>
                <c:pt idx="10">
                  <c:v>11.548716184278137</c:v>
                </c:pt>
                <c:pt idx="11">
                  <c:v>11.714532771072498</c:v>
                </c:pt>
                <c:pt idx="12">
                  <c:v>11.66426119195725</c:v>
                </c:pt>
                <c:pt idx="13">
                  <c:v>11.777120700510926</c:v>
                </c:pt>
                <c:pt idx="14">
                  <c:v>11.641103519986398</c:v>
                </c:pt>
                <c:pt idx="15">
                  <c:v>11.73277210117838</c:v>
                </c:pt>
                <c:pt idx="16">
                  <c:v>11.703275995058524</c:v>
                </c:pt>
                <c:pt idx="17">
                  <c:v>11.730644880105379</c:v>
                </c:pt>
                <c:pt idx="18">
                  <c:v>11.699911276194067</c:v>
                </c:pt>
                <c:pt idx="19">
                  <c:v>11.664728906339677</c:v>
                </c:pt>
                <c:pt idx="20">
                  <c:v>11.518993058887316</c:v>
                </c:pt>
                <c:pt idx="21">
                  <c:v>11.668667088486046</c:v>
                </c:pt>
                <c:pt idx="22">
                  <c:v>11.705960247237547</c:v>
                </c:pt>
                <c:pt idx="23">
                  <c:v>11.566606642562641</c:v>
                </c:pt>
                <c:pt idx="24">
                  <c:v>11.652866754906899</c:v>
                </c:pt>
                <c:pt idx="25">
                  <c:v>11.600969708354734</c:v>
                </c:pt>
                <c:pt idx="26">
                  <c:v>11.565708445346578</c:v>
                </c:pt>
                <c:pt idx="27">
                  <c:v>11.705307615234293</c:v>
                </c:pt>
                <c:pt idx="28">
                  <c:v>11.543690407068302</c:v>
                </c:pt>
                <c:pt idx="29">
                  <c:v>11.655639111994386</c:v>
                </c:pt>
                <c:pt idx="30">
                  <c:v>11.60166789952145</c:v>
                </c:pt>
                <c:pt idx="31">
                  <c:v>11.616449576538271</c:v>
                </c:pt>
                <c:pt idx="32">
                  <c:v>11.30583937071167</c:v>
                </c:pt>
                <c:pt idx="33">
                  <c:v>11.251956466199726</c:v>
                </c:pt>
                <c:pt idx="34">
                  <c:v>10.821491576243666</c:v>
                </c:pt>
                <c:pt idx="35">
                  <c:v>10.757585282722392</c:v>
                </c:pt>
                <c:pt idx="36">
                  <c:v>10.595852884840681</c:v>
                </c:pt>
                <c:pt idx="37">
                  <c:v>10.478752841780038</c:v>
                </c:pt>
                <c:pt idx="38">
                  <c:v>10.210200713434604</c:v>
                </c:pt>
                <c:pt idx="39">
                  <c:v>10.08585895920489</c:v>
                </c:pt>
                <c:pt idx="40">
                  <c:v>9.8050058646343796</c:v>
                </c:pt>
                <c:pt idx="41">
                  <c:v>9.783430757955486</c:v>
                </c:pt>
                <c:pt idx="42">
                  <c:v>9.5276693864566475</c:v>
                </c:pt>
                <c:pt idx="43">
                  <c:v>9.5537581759877046</c:v>
                </c:pt>
                <c:pt idx="44">
                  <c:v>9.2726202039451131</c:v>
                </c:pt>
                <c:pt idx="45">
                  <c:v>9.1021620003863273</c:v>
                </c:pt>
                <c:pt idx="46">
                  <c:v>8.6538569526400853</c:v>
                </c:pt>
                <c:pt idx="47">
                  <c:v>8.6744780024045891</c:v>
                </c:pt>
                <c:pt idx="48">
                  <c:v>8.1699213460176363</c:v>
                </c:pt>
                <c:pt idx="49">
                  <c:v>8.0180289832866034</c:v>
                </c:pt>
                <c:pt idx="50">
                  <c:v>8.093109100039042</c:v>
                </c:pt>
                <c:pt idx="51">
                  <c:v>6.7653702967928693</c:v>
                </c:pt>
                <c:pt idx="52">
                  <c:v>6.2786839938908185</c:v>
                </c:pt>
                <c:pt idx="53">
                  <c:v>6.3253127299138727</c:v>
                </c:pt>
                <c:pt idx="54">
                  <c:v>7.3839945901521782</c:v>
                </c:pt>
                <c:pt idx="55">
                  <c:v>6.1856445637480979</c:v>
                </c:pt>
                <c:pt idx="56">
                  <c:v>7.3186619132982038</c:v>
                </c:pt>
                <c:pt idx="57">
                  <c:v>7.2903259350090952</c:v>
                </c:pt>
                <c:pt idx="58">
                  <c:v>7.4884284672970169</c:v>
                </c:pt>
                <c:pt idx="59">
                  <c:v>6.406754781639628</c:v>
                </c:pt>
                <c:pt idx="60">
                  <c:v>6.2083974803158153</c:v>
                </c:pt>
                <c:pt idx="61">
                  <c:v>6.8949629160563131</c:v>
                </c:pt>
                <c:pt idx="62">
                  <c:v>5.096438898767631</c:v>
                </c:pt>
                <c:pt idx="63">
                  <c:v>6.5288796260044997</c:v>
                </c:pt>
                <c:pt idx="64">
                  <c:v>6.6022027664130212</c:v>
                </c:pt>
                <c:pt idx="65">
                  <c:v>6.0586237720980147</c:v>
                </c:pt>
                <c:pt idx="66">
                  <c:v>7.1308716325220196</c:v>
                </c:pt>
                <c:pt idx="67">
                  <c:v>5.531590260634073</c:v>
                </c:pt>
                <c:pt idx="68">
                  <c:v>6.3121288794231685</c:v>
                </c:pt>
                <c:pt idx="69">
                  <c:v>5.910514679234609</c:v>
                </c:pt>
                <c:pt idx="70">
                  <c:v>6.1708419081814245</c:v>
                </c:pt>
                <c:pt idx="71">
                  <c:v>5.388563950516275</c:v>
                </c:pt>
                <c:pt idx="72">
                  <c:v>5.5843245942846833</c:v>
                </c:pt>
                <c:pt idx="73">
                  <c:v>6.1563617127036778</c:v>
                </c:pt>
                <c:pt idx="74">
                  <c:v>5.8653905427631585</c:v>
                </c:pt>
                <c:pt idx="75">
                  <c:v>5.1129867556995592</c:v>
                </c:pt>
                <c:pt idx="76">
                  <c:v>5.590647013226473</c:v>
                </c:pt>
                <c:pt idx="77">
                  <c:v>4.5421846082152273</c:v>
                </c:pt>
                <c:pt idx="78">
                  <c:v>5.3229384998617402</c:v>
                </c:pt>
                <c:pt idx="79">
                  <c:v>5.6048550834321453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6-45EB-B3B0-C5DFC71BC463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'J21-dyn-G1'!$R$9:$R$88</c:f>
              <c:numCache>
                <c:formatCode>0.00</c:formatCode>
                <c:ptCount val="80"/>
                <c:pt idx="0">
                  <c:v>11.476828903894713</c:v>
                </c:pt>
                <c:pt idx="1">
                  <c:v>11.476828903894713</c:v>
                </c:pt>
                <c:pt idx="2">
                  <c:v>11.476828903894713</c:v>
                </c:pt>
                <c:pt idx="3">
                  <c:v>11.476828903894713</c:v>
                </c:pt>
                <c:pt idx="4">
                  <c:v>11.476828903894713</c:v>
                </c:pt>
                <c:pt idx="5">
                  <c:v>11.476828903894713</c:v>
                </c:pt>
                <c:pt idx="6">
                  <c:v>11.476828903894713</c:v>
                </c:pt>
                <c:pt idx="7">
                  <c:v>11.476828903894713</c:v>
                </c:pt>
                <c:pt idx="8">
                  <c:v>11.476828903894713</c:v>
                </c:pt>
                <c:pt idx="9">
                  <c:v>11.476828903894713</c:v>
                </c:pt>
                <c:pt idx="10">
                  <c:v>11.476828903894713</c:v>
                </c:pt>
                <c:pt idx="11">
                  <c:v>11.476828903894713</c:v>
                </c:pt>
                <c:pt idx="12">
                  <c:v>11.476828903894713</c:v>
                </c:pt>
                <c:pt idx="13">
                  <c:v>11.476828903894713</c:v>
                </c:pt>
                <c:pt idx="14">
                  <c:v>11.476828903894713</c:v>
                </c:pt>
                <c:pt idx="15">
                  <c:v>11.476828903894713</c:v>
                </c:pt>
                <c:pt idx="16">
                  <c:v>11.476828903894713</c:v>
                </c:pt>
                <c:pt idx="17">
                  <c:v>11.476828903894713</c:v>
                </c:pt>
                <c:pt idx="18">
                  <c:v>11.476828903894713</c:v>
                </c:pt>
                <c:pt idx="19">
                  <c:v>11.476828903894713</c:v>
                </c:pt>
                <c:pt idx="20">
                  <c:v>11.476828903894713</c:v>
                </c:pt>
                <c:pt idx="21">
                  <c:v>11.476828903894713</c:v>
                </c:pt>
                <c:pt idx="22">
                  <c:v>11.476828903894713</c:v>
                </c:pt>
                <c:pt idx="23">
                  <c:v>11.476828903894713</c:v>
                </c:pt>
                <c:pt idx="24">
                  <c:v>11.476828903894713</c:v>
                </c:pt>
                <c:pt idx="25">
                  <c:v>11.476828903894713</c:v>
                </c:pt>
                <c:pt idx="26">
                  <c:v>11.476828903894713</c:v>
                </c:pt>
                <c:pt idx="27">
                  <c:v>11.476828903894713</c:v>
                </c:pt>
                <c:pt idx="28">
                  <c:v>11.476828903894711</c:v>
                </c:pt>
                <c:pt idx="29">
                  <c:v>11.476828903894713</c:v>
                </c:pt>
                <c:pt idx="30">
                  <c:v>11.476828903894713</c:v>
                </c:pt>
                <c:pt idx="31">
                  <c:v>11.476828903894713</c:v>
                </c:pt>
                <c:pt idx="32">
                  <c:v>11.268159287460264</c:v>
                </c:pt>
                <c:pt idx="33">
                  <c:v>11.071764354345488</c:v>
                </c:pt>
                <c:pt idx="34">
                  <c:v>10.886591988837273</c:v>
                </c:pt>
                <c:pt idx="35">
                  <c:v>10.711706976968401</c:v>
                </c:pt>
                <c:pt idx="36">
                  <c:v>10.546275208984332</c:v>
                </c:pt>
                <c:pt idx="37">
                  <c:v>10.389550376157318</c:v>
                </c:pt>
                <c:pt idx="38">
                  <c:v>10.240862714244514</c:v>
                </c:pt>
                <c:pt idx="39">
                  <c:v>10.099609435427347</c:v>
                </c:pt>
                <c:pt idx="40">
                  <c:v>9.9652465604549221</c:v>
                </c:pt>
                <c:pt idx="41">
                  <c:v>9.8372819176240398</c:v>
                </c:pt>
                <c:pt idx="42">
                  <c:v>9.7152691186457574</c:v>
                </c:pt>
                <c:pt idx="43">
                  <c:v>9.5988023559846685</c:v>
                </c:pt>
                <c:pt idx="44">
                  <c:v>9.4875118938862961</c:v>
                </c:pt>
                <c:pt idx="45">
                  <c:v>9.3810601475313309</c:v>
                </c:pt>
                <c:pt idx="46">
                  <c:v>9.279138262723384</c:v>
                </c:pt>
                <c:pt idx="47">
                  <c:v>9.1814631231157708</c:v>
                </c:pt>
                <c:pt idx="48">
                  <c:v>9.0877747239003028</c:v>
                </c:pt>
                <c:pt idx="49">
                  <c:v>8.9978338606534543</c:v>
                </c:pt>
                <c:pt idx="50">
                  <c:v>8.9114200900829541</c:v>
                </c:pt>
                <c:pt idx="51">
                  <c:v>8.8283299260728558</c:v>
                </c:pt>
                <c:pt idx="52">
                  <c:v>8.748375239949933</c:v>
                </c:pt>
                <c:pt idx="53">
                  <c:v>8.6713818384982275</c:v>
                </c:pt>
                <c:pt idx="54">
                  <c:v>8.5971881970993138</c:v>
                </c:pt>
                <c:pt idx="55">
                  <c:v>8.5256443286075019</c:v>
                </c:pt>
                <c:pt idx="56">
                  <c:v>8.4566107712908423</c:v>
                </c:pt>
                <c:pt idx="57">
                  <c:v>8.3899576814678589</c:v>
                </c:pt>
                <c:pt idx="58">
                  <c:v>8.3255640184185378</c:v>
                </c:pt>
                <c:pt idx="59">
                  <c:v>8.2633168108041932</c:v>
                </c:pt>
                <c:pt idx="60">
                  <c:v>8.2031104952427789</c:v>
                </c:pt>
                <c:pt idx="61">
                  <c:v>8.1448463188930216</c:v>
                </c:pt>
                <c:pt idx="62">
                  <c:v>8.0884317989353214</c:v>
                </c:pt>
                <c:pt idx="63">
                  <c:v>8.0337802327262988</c:v>
                </c:pt>
                <c:pt idx="64">
                  <c:v>7.9101836137612791</c:v>
                </c:pt>
                <c:pt idx="65">
                  <c:v>7.7903323468861085</c:v>
                </c:pt>
                <c:pt idx="66">
                  <c:v>7.6740587297684053</c:v>
                </c:pt>
                <c:pt idx="67">
                  <c:v>7.5612049249188695</c:v>
                </c:pt>
                <c:pt idx="68">
                  <c:v>7.4516222448475817</c:v>
                </c:pt>
                <c:pt idx="69">
                  <c:v>7.3451704984926165</c:v>
                </c:pt>
                <c:pt idx="70">
                  <c:v>7.2417173928800436</c:v>
                </c:pt>
                <c:pt idx="71">
                  <c:v>7.1411379846455993</c:v>
                </c:pt>
                <c:pt idx="72">
                  <c:v>7.0433141766367555</c:v>
                </c:pt>
                <c:pt idx="73">
                  <c:v>6.9481342553308529</c:v>
                </c:pt>
                <c:pt idx="74">
                  <c:v>6.8554924652597755</c:v>
                </c:pt>
                <c:pt idx="75">
                  <c:v>6.7652886170326729</c:v>
                </c:pt>
                <c:pt idx="76">
                  <c:v>6.6774277259023789</c:v>
                </c:pt>
                <c:pt idx="77">
                  <c:v>6.5918196781343994</c:v>
                </c:pt>
                <c:pt idx="78">
                  <c:v>6.5083789227149769</c:v>
                </c:pt>
                <c:pt idx="79">
                  <c:v>6.4270241861810398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6-45EB-B3B0-C5DFC71BC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'J21-dyn-eps'!$O$9:$O$88</c:f>
              <c:numCache>
                <c:formatCode>0.00</c:formatCode>
                <c:ptCount val="80"/>
                <c:pt idx="0">
                  <c:v>12.240951453733196</c:v>
                </c:pt>
                <c:pt idx="1">
                  <c:v>23.880614048477362</c:v>
                </c:pt>
                <c:pt idx="2">
                  <c:v>36.162808127764322</c:v>
                </c:pt>
                <c:pt idx="3">
                  <c:v>47.247977182754639</c:v>
                </c:pt>
                <c:pt idx="4">
                  <c:v>59.582994712969949</c:v>
                </c:pt>
                <c:pt idx="5">
                  <c:v>71.814328610868472</c:v>
                </c:pt>
                <c:pt idx="6">
                  <c:v>84.371567289700053</c:v>
                </c:pt>
                <c:pt idx="7">
                  <c:v>95.808543426687052</c:v>
                </c:pt>
                <c:pt idx="8">
                  <c:v>107.61602608784776</c:v>
                </c:pt>
                <c:pt idx="9">
                  <c:v>118.79116013438363</c:v>
                </c:pt>
                <c:pt idx="10">
                  <c:v>131.62112353464164</c:v>
                </c:pt>
                <c:pt idx="11">
                  <c:v>142.91864518548164</c:v>
                </c:pt>
                <c:pt idx="12">
                  <c:v>155.71434597167146</c:v>
                </c:pt>
                <c:pt idx="13">
                  <c:v>166.71641824611976</c:v>
                </c:pt>
                <c:pt idx="14">
                  <c:v>179.21840174960079</c:v>
                </c:pt>
                <c:pt idx="15">
                  <c:v>192.06401068081843</c:v>
                </c:pt>
                <c:pt idx="16">
                  <c:v>204.24874142354096</c:v>
                </c:pt>
                <c:pt idx="17">
                  <c:v>215.89248446044425</c:v>
                </c:pt>
                <c:pt idx="18">
                  <c:v>227.00756906834664</c:v>
                </c:pt>
                <c:pt idx="19">
                  <c:v>239.71609933079753</c:v>
                </c:pt>
                <c:pt idx="20">
                  <c:v>251.65276108525751</c:v>
                </c:pt>
                <c:pt idx="21">
                  <c:v>265.4934271692951</c:v>
                </c:pt>
                <c:pt idx="22">
                  <c:v>275.0988924807163</c:v>
                </c:pt>
                <c:pt idx="23">
                  <c:v>288.31194209388752</c:v>
                </c:pt>
                <c:pt idx="24">
                  <c:v>299.0581238588743</c:v>
                </c:pt>
                <c:pt idx="25">
                  <c:v>310.69776575631306</c:v>
                </c:pt>
                <c:pt idx="26">
                  <c:v>324.52165507721264</c:v>
                </c:pt>
                <c:pt idx="27">
                  <c:v>337.83134882195861</c:v>
                </c:pt>
                <c:pt idx="28">
                  <c:v>348.29653167708904</c:v>
                </c:pt>
                <c:pt idx="29">
                  <c:v>362.14274230175255</c:v>
                </c:pt>
                <c:pt idx="30">
                  <c:v>372.37702123033398</c:v>
                </c:pt>
                <c:pt idx="31">
                  <c:v>378.48407903569444</c:v>
                </c:pt>
                <c:pt idx="32">
                  <c:v>385.8960497632068</c:v>
                </c:pt>
                <c:pt idx="33">
                  <c:v>390.58192891339883</c:v>
                </c:pt>
                <c:pt idx="34">
                  <c:v>393.84981794997447</c:v>
                </c:pt>
                <c:pt idx="35">
                  <c:v>398.89620468218857</c:v>
                </c:pt>
                <c:pt idx="36">
                  <c:v>406.23087339786383</c:v>
                </c:pt>
                <c:pt idx="37">
                  <c:v>411.65578663697403</c:v>
                </c:pt>
                <c:pt idx="38">
                  <c:v>414.52020793482234</c:v>
                </c:pt>
                <c:pt idx="39">
                  <c:v>412.6684375733393</c:v>
                </c:pt>
                <c:pt idx="40">
                  <c:v>419.8797569738436</c:v>
                </c:pt>
                <c:pt idx="41">
                  <c:v>426.40062696627717</c:v>
                </c:pt>
                <c:pt idx="42">
                  <c:v>433.04706778240944</c:v>
                </c:pt>
                <c:pt idx="43">
                  <c:v>436.37767384311525</c:v>
                </c:pt>
                <c:pt idx="44">
                  <c:v>436.4131995167989</c:v>
                </c:pt>
                <c:pt idx="45">
                  <c:v>445.81963961908599</c:v>
                </c:pt>
                <c:pt idx="46">
                  <c:v>450.18151145949025</c:v>
                </c:pt>
                <c:pt idx="47">
                  <c:v>451.94844447183965</c:v>
                </c:pt>
                <c:pt idx="48">
                  <c:v>452.45122000121779</c:v>
                </c:pt>
                <c:pt idx="49">
                  <c:v>415.01709924983885</c:v>
                </c:pt>
                <c:pt idx="50">
                  <c:v>469.20513656149501</c:v>
                </c:pt>
                <c:pt idx="51">
                  <c:v>373.01108755882979</c:v>
                </c:pt>
                <c:pt idx="52">
                  <c:v>443.51432470661121</c:v>
                </c:pt>
                <c:pt idx="53">
                  <c:v>485.40029891800862</c:v>
                </c:pt>
                <c:pt idx="54">
                  <c:v>447.0379705257738</c:v>
                </c:pt>
                <c:pt idx="55">
                  <c:v>456.8732334971574</c:v>
                </c:pt>
                <c:pt idx="56">
                  <c:v>419.09930265142702</c:v>
                </c:pt>
                <c:pt idx="57">
                  <c:v>494.51679347320294</c:v>
                </c:pt>
                <c:pt idx="58">
                  <c:v>467.94543044058639</c:v>
                </c:pt>
                <c:pt idx="59">
                  <c:v>477.32005904591767</c:v>
                </c:pt>
                <c:pt idx="60">
                  <c:v>505.33695548308185</c:v>
                </c:pt>
                <c:pt idx="61">
                  <c:v>481.61349700828913</c:v>
                </c:pt>
                <c:pt idx="62">
                  <c:v>512.9904635535338</c:v>
                </c:pt>
                <c:pt idx="63">
                  <c:v>482.27544161284544</c:v>
                </c:pt>
                <c:pt idx="64">
                  <c:v>483.90650305398304</c:v>
                </c:pt>
                <c:pt idx="65">
                  <c:v>519.82858621654702</c:v>
                </c:pt>
                <c:pt idx="66">
                  <c:v>417.74310054353981</c:v>
                </c:pt>
                <c:pt idx="67">
                  <c:v>488.38601111067561</c:v>
                </c:pt>
                <c:pt idx="68">
                  <c:v>461.80370466666676</c:v>
                </c:pt>
                <c:pt idx="69">
                  <c:v>509.35296858155129</c:v>
                </c:pt>
                <c:pt idx="70">
                  <c:v>523.47546279031053</c:v>
                </c:pt>
                <c:pt idx="71">
                  <c:v>433.90097305077609</c:v>
                </c:pt>
                <c:pt idx="72">
                  <c:v>518.36564374374177</c:v>
                </c:pt>
                <c:pt idx="73">
                  <c:v>467.16686329077766</c:v>
                </c:pt>
                <c:pt idx="74">
                  <c:v>479.96252066415644</c:v>
                </c:pt>
                <c:pt idx="75">
                  <c:v>470.19713916265636</c:v>
                </c:pt>
                <c:pt idx="76">
                  <c:v>522.49916794752164</c:v>
                </c:pt>
                <c:pt idx="77">
                  <c:v>524.78676756089192</c:v>
                </c:pt>
                <c:pt idx="78">
                  <c:v>474.26397866643111</c:v>
                </c:pt>
                <c:pt idx="79">
                  <c:v>516.71452855728455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E-40B8-A7DE-D88A69DACAA2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'J21-dyn-eps'!$Q$9:$Q$88</c:f>
              <c:numCache>
                <c:formatCode>0.00</c:formatCode>
                <c:ptCount val="80"/>
                <c:pt idx="0">
                  <c:v>12.240951453733196</c:v>
                </c:pt>
                <c:pt idx="1">
                  <c:v>24.481902907466392</c:v>
                </c:pt>
                <c:pt idx="2">
                  <c:v>36.722854361199587</c:v>
                </c:pt>
                <c:pt idx="3">
                  <c:v>48.963805814932783</c:v>
                </c:pt>
                <c:pt idx="4">
                  <c:v>61.204757268665986</c:v>
                </c:pt>
                <c:pt idx="5">
                  <c:v>73.445708722399175</c:v>
                </c:pt>
                <c:pt idx="6">
                  <c:v>85.686660176132378</c:v>
                </c:pt>
                <c:pt idx="7">
                  <c:v>97.927611629865567</c:v>
                </c:pt>
                <c:pt idx="8">
                  <c:v>110.16856308359877</c:v>
                </c:pt>
                <c:pt idx="9">
                  <c:v>122.40951453733197</c:v>
                </c:pt>
                <c:pt idx="10">
                  <c:v>134.65046599106518</c:v>
                </c:pt>
                <c:pt idx="11">
                  <c:v>146.89141744479835</c:v>
                </c:pt>
                <c:pt idx="12">
                  <c:v>159.13236889853155</c:v>
                </c:pt>
                <c:pt idx="13">
                  <c:v>171.37332035226476</c:v>
                </c:pt>
                <c:pt idx="14">
                  <c:v>183.61427180599793</c:v>
                </c:pt>
                <c:pt idx="15">
                  <c:v>195.85522325973113</c:v>
                </c:pt>
                <c:pt idx="16">
                  <c:v>208.09617471346434</c:v>
                </c:pt>
                <c:pt idx="17">
                  <c:v>220.33712616719754</c:v>
                </c:pt>
                <c:pt idx="18">
                  <c:v>232.57807762093074</c:v>
                </c:pt>
                <c:pt idx="19">
                  <c:v>244.81902907466394</c:v>
                </c:pt>
                <c:pt idx="20">
                  <c:v>257.05998052839709</c:v>
                </c:pt>
                <c:pt idx="21">
                  <c:v>269.30093198213035</c:v>
                </c:pt>
                <c:pt idx="22">
                  <c:v>281.5418834358635</c:v>
                </c:pt>
                <c:pt idx="23">
                  <c:v>293.7828348895967</c:v>
                </c:pt>
                <c:pt idx="24">
                  <c:v>306.0237863433299</c:v>
                </c:pt>
                <c:pt idx="25">
                  <c:v>318.26473779706311</c:v>
                </c:pt>
                <c:pt idx="26">
                  <c:v>330.50568925079631</c:v>
                </c:pt>
                <c:pt idx="27">
                  <c:v>342.74664070452951</c:v>
                </c:pt>
                <c:pt idx="28">
                  <c:v>354.98759215826266</c:v>
                </c:pt>
                <c:pt idx="29">
                  <c:v>367.22854361199586</c:v>
                </c:pt>
                <c:pt idx="30">
                  <c:v>379.46949506572906</c:v>
                </c:pt>
                <c:pt idx="31">
                  <c:v>391.71044651946227</c:v>
                </c:pt>
                <c:pt idx="32">
                  <c:v>396.60682710095557</c:v>
                </c:pt>
                <c:pt idx="33">
                  <c:v>401.50320768244887</c:v>
                </c:pt>
                <c:pt idx="34">
                  <c:v>406.39958826394212</c:v>
                </c:pt>
                <c:pt idx="35">
                  <c:v>411.29596884543537</c:v>
                </c:pt>
                <c:pt idx="36">
                  <c:v>416.19234942692867</c:v>
                </c:pt>
                <c:pt idx="37">
                  <c:v>421.08873000842198</c:v>
                </c:pt>
                <c:pt idx="38">
                  <c:v>425.98511058991522</c:v>
                </c:pt>
                <c:pt idx="39">
                  <c:v>430.88149117140853</c:v>
                </c:pt>
                <c:pt idx="40">
                  <c:v>435.77787175290177</c:v>
                </c:pt>
                <c:pt idx="41">
                  <c:v>440.67425233439508</c:v>
                </c:pt>
                <c:pt idx="42">
                  <c:v>445.57063291588838</c:v>
                </c:pt>
                <c:pt idx="43">
                  <c:v>450.46701349738163</c:v>
                </c:pt>
                <c:pt idx="44">
                  <c:v>455.36339407887493</c:v>
                </c:pt>
                <c:pt idx="45">
                  <c:v>460.25977466036818</c:v>
                </c:pt>
                <c:pt idx="46">
                  <c:v>465.15615524186148</c:v>
                </c:pt>
                <c:pt idx="47">
                  <c:v>470.05253582335473</c:v>
                </c:pt>
                <c:pt idx="48">
                  <c:v>474.94891640484803</c:v>
                </c:pt>
                <c:pt idx="49">
                  <c:v>479.84529698634128</c:v>
                </c:pt>
                <c:pt idx="50">
                  <c:v>484.74167756783464</c:v>
                </c:pt>
                <c:pt idx="51">
                  <c:v>489.63805814932789</c:v>
                </c:pt>
                <c:pt idx="52">
                  <c:v>494.53443873082114</c:v>
                </c:pt>
                <c:pt idx="53">
                  <c:v>499.43081931231444</c:v>
                </c:pt>
                <c:pt idx="54">
                  <c:v>504.32719989380769</c:v>
                </c:pt>
                <c:pt idx="55">
                  <c:v>509.22358047530099</c:v>
                </c:pt>
                <c:pt idx="56">
                  <c:v>514.1199610567943</c:v>
                </c:pt>
                <c:pt idx="57">
                  <c:v>519.0163416382876</c:v>
                </c:pt>
                <c:pt idx="58">
                  <c:v>523.91272221978079</c:v>
                </c:pt>
                <c:pt idx="59">
                  <c:v>528.80910280127409</c:v>
                </c:pt>
                <c:pt idx="60">
                  <c:v>533.70548338276728</c:v>
                </c:pt>
                <c:pt idx="61">
                  <c:v>538.60186396426059</c:v>
                </c:pt>
                <c:pt idx="62">
                  <c:v>543.49824454575401</c:v>
                </c:pt>
                <c:pt idx="63">
                  <c:v>548.3946251272472</c:v>
                </c:pt>
                <c:pt idx="64">
                  <c:v>548.3946251272472</c:v>
                </c:pt>
                <c:pt idx="65">
                  <c:v>548.3946251272472</c:v>
                </c:pt>
                <c:pt idx="66">
                  <c:v>548.3946251272472</c:v>
                </c:pt>
                <c:pt idx="67">
                  <c:v>548.3946251272472</c:v>
                </c:pt>
                <c:pt idx="68">
                  <c:v>548.3946251272472</c:v>
                </c:pt>
                <c:pt idx="69">
                  <c:v>548.3946251272472</c:v>
                </c:pt>
                <c:pt idx="70">
                  <c:v>548.3946251272472</c:v>
                </c:pt>
                <c:pt idx="71">
                  <c:v>548.3946251272472</c:v>
                </c:pt>
                <c:pt idx="72">
                  <c:v>548.3946251272472</c:v>
                </c:pt>
                <c:pt idx="73">
                  <c:v>548.3946251272472</c:v>
                </c:pt>
                <c:pt idx="74">
                  <c:v>548.3946251272472</c:v>
                </c:pt>
                <c:pt idx="75">
                  <c:v>548.3946251272472</c:v>
                </c:pt>
                <c:pt idx="76">
                  <c:v>548.3946251272472</c:v>
                </c:pt>
                <c:pt idx="77">
                  <c:v>548.3946251272472</c:v>
                </c:pt>
                <c:pt idx="78">
                  <c:v>548.3946251272472</c:v>
                </c:pt>
                <c:pt idx="79">
                  <c:v>548.3946251272472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E-40B8-A7DE-D88A69DAC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5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'J21-dyn-eps'!$P$9:$P$88</c:f>
              <c:numCache>
                <c:formatCode>0.00</c:formatCode>
                <c:ptCount val="80"/>
                <c:pt idx="0">
                  <c:v>12.240951453733196</c:v>
                </c:pt>
                <c:pt idx="1">
                  <c:v>11.940307024238681</c:v>
                </c:pt>
                <c:pt idx="2">
                  <c:v>12.054269375921438</c:v>
                </c:pt>
                <c:pt idx="3">
                  <c:v>11.81199429568866</c:v>
                </c:pt>
                <c:pt idx="4">
                  <c:v>11.916598942593989</c:v>
                </c:pt>
                <c:pt idx="5">
                  <c:v>11.969054768478076</c:v>
                </c:pt>
                <c:pt idx="6">
                  <c:v>12.053081041385724</c:v>
                </c:pt>
                <c:pt idx="7">
                  <c:v>11.976067928335882</c:v>
                </c:pt>
                <c:pt idx="8">
                  <c:v>11.957336231983081</c:v>
                </c:pt>
                <c:pt idx="9">
                  <c:v>11.879116013438365</c:v>
                </c:pt>
                <c:pt idx="10">
                  <c:v>11.965556684967423</c:v>
                </c:pt>
                <c:pt idx="11">
                  <c:v>11.909887098790133</c:v>
                </c:pt>
                <c:pt idx="12">
                  <c:v>11.978026613205499</c:v>
                </c:pt>
                <c:pt idx="13">
                  <c:v>11.908315589008556</c:v>
                </c:pt>
                <c:pt idx="14">
                  <c:v>11.947893449973389</c:v>
                </c:pt>
                <c:pt idx="15">
                  <c:v>12.004000667551152</c:v>
                </c:pt>
                <c:pt idx="16">
                  <c:v>12.014631848443585</c:v>
                </c:pt>
                <c:pt idx="17">
                  <c:v>11.994026914469128</c:v>
                </c:pt>
                <c:pt idx="18">
                  <c:v>11.947766793070876</c:v>
                </c:pt>
                <c:pt idx="19">
                  <c:v>11.985804966539874</c:v>
                </c:pt>
                <c:pt idx="20">
                  <c:v>11.983464813583689</c:v>
                </c:pt>
                <c:pt idx="21">
                  <c:v>12.067883053149776</c:v>
                </c:pt>
                <c:pt idx="22">
                  <c:v>11.960821412205057</c:v>
                </c:pt>
                <c:pt idx="23">
                  <c:v>12.012997587245311</c:v>
                </c:pt>
                <c:pt idx="24">
                  <c:v>11.962324954354974</c:v>
                </c:pt>
                <c:pt idx="25">
                  <c:v>11.949914067550505</c:v>
                </c:pt>
                <c:pt idx="26">
                  <c:v>12.019320558415284</c:v>
                </c:pt>
                <c:pt idx="27">
                  <c:v>12.065405315069949</c:v>
                </c:pt>
                <c:pt idx="28">
                  <c:v>12.010225230244449</c:v>
                </c:pt>
                <c:pt idx="29">
                  <c:v>12.071424743391752</c:v>
                </c:pt>
                <c:pt idx="30">
                  <c:v>12.012161975172065</c:v>
                </c:pt>
                <c:pt idx="31">
                  <c:v>11.827627469865451</c:v>
                </c:pt>
                <c:pt idx="32">
                  <c:v>11.693819689794147</c:v>
                </c:pt>
                <c:pt idx="33">
                  <c:v>11.487703791570553</c:v>
                </c:pt>
                <c:pt idx="34">
                  <c:v>11.252851941427842</c:v>
                </c:pt>
                <c:pt idx="35">
                  <c:v>11.080450130060793</c:v>
                </c:pt>
                <c:pt idx="36">
                  <c:v>10.979212794536858</c:v>
                </c:pt>
                <c:pt idx="37">
                  <c:v>10.833047016762475</c:v>
                </c:pt>
                <c:pt idx="38">
                  <c:v>10.628723280380061</c:v>
                </c:pt>
                <c:pt idx="39">
                  <c:v>10.316710939333483</c:v>
                </c:pt>
                <c:pt idx="40">
                  <c:v>10.240969682288869</c:v>
                </c:pt>
                <c:pt idx="41">
                  <c:v>10.152395880149458</c:v>
                </c:pt>
                <c:pt idx="42">
                  <c:v>10.070862041451381</c:v>
                </c:pt>
                <c:pt idx="43">
                  <c:v>9.9176744055253465</c:v>
                </c:pt>
                <c:pt idx="44">
                  <c:v>9.6980711003733084</c:v>
                </c:pt>
                <c:pt idx="45">
                  <c:v>9.6917312960670863</c:v>
                </c:pt>
                <c:pt idx="46">
                  <c:v>9.5783300310529818</c:v>
                </c:pt>
                <c:pt idx="47">
                  <c:v>9.4155925931633266</c:v>
                </c:pt>
                <c:pt idx="48">
                  <c:v>9.2336983673717903</c:v>
                </c:pt>
                <c:pt idx="49">
                  <c:v>8.3003419849967752</c:v>
                </c:pt>
                <c:pt idx="50">
                  <c:v>9.2001007168920577</c:v>
                </c:pt>
                <c:pt idx="51">
                  <c:v>7.1732901453621114</c:v>
                </c:pt>
                <c:pt idx="52">
                  <c:v>8.3681948057851159</c:v>
                </c:pt>
                <c:pt idx="53">
                  <c:v>8.9888944244075653</c:v>
                </c:pt>
                <c:pt idx="54">
                  <c:v>8.1279631004686159</c:v>
                </c:pt>
                <c:pt idx="55">
                  <c:v>8.158450598163526</c:v>
                </c:pt>
                <c:pt idx="56">
                  <c:v>7.3526193447618784</c:v>
                </c:pt>
                <c:pt idx="57">
                  <c:v>8.5261516116069487</c:v>
                </c:pt>
                <c:pt idx="58">
                  <c:v>7.9312784820438376</c:v>
                </c:pt>
                <c:pt idx="59">
                  <c:v>7.9553343174319613</c:v>
                </c:pt>
                <c:pt idx="60">
                  <c:v>8.2842123849685549</c:v>
                </c:pt>
                <c:pt idx="61">
                  <c:v>7.7679596291659552</c:v>
                </c:pt>
                <c:pt idx="62">
                  <c:v>8.1427057706910144</c:v>
                </c:pt>
                <c:pt idx="63">
                  <c:v>7.53555377520071</c:v>
                </c:pt>
                <c:pt idx="64">
                  <c:v>7.4447154315997404</c:v>
                </c:pt>
                <c:pt idx="65">
                  <c:v>7.8761907002507119</c:v>
                </c:pt>
                <c:pt idx="66">
                  <c:v>6.2349716499035805</c:v>
                </c:pt>
                <c:pt idx="67">
                  <c:v>7.1821472222158169</c:v>
                </c:pt>
                <c:pt idx="68">
                  <c:v>6.6928073140096629</c:v>
                </c:pt>
                <c:pt idx="69">
                  <c:v>7.2764709797364473</c:v>
                </c:pt>
                <c:pt idx="70">
                  <c:v>7.3728938421170493</c:v>
                </c:pt>
                <c:pt idx="71">
                  <c:v>6.0264024034830008</c:v>
                </c:pt>
                <c:pt idx="72">
                  <c:v>7.1008992293663251</c:v>
                </c:pt>
                <c:pt idx="73">
                  <c:v>6.3130657201456453</c:v>
                </c:pt>
                <c:pt idx="74">
                  <c:v>6.3995002755220858</c:v>
                </c:pt>
                <c:pt idx="75">
                  <c:v>6.1868044626665313</c:v>
                </c:pt>
                <c:pt idx="76">
                  <c:v>6.7857034798379425</c:v>
                </c:pt>
                <c:pt idx="77">
                  <c:v>6.7280354815498962</c:v>
                </c:pt>
                <c:pt idx="78">
                  <c:v>6.0033415021067231</c:v>
                </c:pt>
                <c:pt idx="79">
                  <c:v>6.4589316069660585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6-4AA0-89AB-CB670190682B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'J21-dyn-eps'!$R$9:$R$88</c:f>
              <c:numCache>
                <c:formatCode>0.00</c:formatCode>
                <c:ptCount val="80"/>
                <c:pt idx="0">
                  <c:v>12.240951453733196</c:v>
                </c:pt>
                <c:pt idx="1">
                  <c:v>12.240951453733196</c:v>
                </c:pt>
                <c:pt idx="2">
                  <c:v>12.240951453733196</c:v>
                </c:pt>
                <c:pt idx="3">
                  <c:v>12.240951453733196</c:v>
                </c:pt>
                <c:pt idx="4">
                  <c:v>12.240951453733196</c:v>
                </c:pt>
                <c:pt idx="5">
                  <c:v>12.240951453733196</c:v>
                </c:pt>
                <c:pt idx="6">
                  <c:v>12.240951453733196</c:v>
                </c:pt>
                <c:pt idx="7">
                  <c:v>12.240951453733196</c:v>
                </c:pt>
                <c:pt idx="8">
                  <c:v>12.240951453733196</c:v>
                </c:pt>
                <c:pt idx="9">
                  <c:v>12.240951453733196</c:v>
                </c:pt>
                <c:pt idx="10">
                  <c:v>12.240951453733198</c:v>
                </c:pt>
                <c:pt idx="11">
                  <c:v>12.240951453733196</c:v>
                </c:pt>
                <c:pt idx="12">
                  <c:v>12.240951453733196</c:v>
                </c:pt>
                <c:pt idx="13">
                  <c:v>12.240951453733196</c:v>
                </c:pt>
                <c:pt idx="14">
                  <c:v>12.240951453733196</c:v>
                </c:pt>
                <c:pt idx="15">
                  <c:v>12.240951453733196</c:v>
                </c:pt>
                <c:pt idx="16">
                  <c:v>12.240951453733196</c:v>
                </c:pt>
                <c:pt idx="17">
                  <c:v>12.240951453733196</c:v>
                </c:pt>
                <c:pt idx="18">
                  <c:v>12.240951453733196</c:v>
                </c:pt>
                <c:pt idx="19">
                  <c:v>12.240951453733196</c:v>
                </c:pt>
                <c:pt idx="20">
                  <c:v>12.240951453733196</c:v>
                </c:pt>
                <c:pt idx="21">
                  <c:v>12.240951453733198</c:v>
                </c:pt>
                <c:pt idx="22">
                  <c:v>12.240951453733194</c:v>
                </c:pt>
                <c:pt idx="23">
                  <c:v>12.240951453733196</c:v>
                </c:pt>
                <c:pt idx="24">
                  <c:v>12.240951453733196</c:v>
                </c:pt>
                <c:pt idx="25">
                  <c:v>12.240951453733196</c:v>
                </c:pt>
                <c:pt idx="26">
                  <c:v>12.240951453733196</c:v>
                </c:pt>
                <c:pt idx="27">
                  <c:v>12.240951453733196</c:v>
                </c:pt>
                <c:pt idx="28">
                  <c:v>12.240951453733194</c:v>
                </c:pt>
                <c:pt idx="29">
                  <c:v>12.240951453733196</c:v>
                </c:pt>
                <c:pt idx="30">
                  <c:v>12.240951453733196</c:v>
                </c:pt>
                <c:pt idx="31">
                  <c:v>12.240951453733196</c:v>
                </c:pt>
                <c:pt idx="32">
                  <c:v>12.018388700028956</c:v>
                </c:pt>
                <c:pt idx="33">
                  <c:v>11.808917873013202</c:v>
                </c:pt>
                <c:pt idx="34">
                  <c:v>11.611416807541202</c:v>
                </c:pt>
                <c:pt idx="35">
                  <c:v>11.424888023484316</c:v>
                </c:pt>
                <c:pt idx="36">
                  <c:v>11.248441876403479</c:v>
                </c:pt>
                <c:pt idx="37">
                  <c:v>11.081282368642682</c:v>
                </c:pt>
                <c:pt idx="38">
                  <c:v>10.922695143331159</c:v>
                </c:pt>
                <c:pt idx="39">
                  <c:v>10.772037279285213</c:v>
                </c:pt>
                <c:pt idx="40">
                  <c:v>10.628728579339068</c:v>
                </c:pt>
                <c:pt idx="41">
                  <c:v>10.492244103199882</c:v>
                </c:pt>
                <c:pt idx="42">
                  <c:v>10.362107742229963</c:v>
                </c:pt>
                <c:pt idx="43">
                  <c:v>10.237886670395037</c:v>
                </c:pt>
                <c:pt idx="44">
                  <c:v>10.11918653508611</c:v>
                </c:pt>
                <c:pt idx="45">
                  <c:v>10.005647275225396</c:v>
                </c:pt>
                <c:pt idx="46">
                  <c:v>9.8969394732310967</c:v>
                </c:pt>
                <c:pt idx="47">
                  <c:v>9.7927611629865563</c:v>
                </c:pt>
                <c:pt idx="48">
                  <c:v>9.6928350286703679</c:v>
                </c:pt>
                <c:pt idx="49">
                  <c:v>9.5969059397268257</c:v>
                </c:pt>
                <c:pt idx="50">
                  <c:v>9.5047387758398951</c:v>
                </c:pt>
                <c:pt idx="51">
                  <c:v>9.4161165028716898</c:v>
                </c:pt>
                <c:pt idx="52">
                  <c:v>9.3308384666192659</c:v>
                </c:pt>
                <c:pt idx="53">
                  <c:v>9.2487188761539727</c:v>
                </c:pt>
                <c:pt idx="54">
                  <c:v>9.1695854526146849</c:v>
                </c:pt>
                <c:pt idx="55">
                  <c:v>9.0932782227732307</c:v>
                </c:pt>
                <c:pt idx="56">
                  <c:v>9.0196484395928831</c:v>
                </c:pt>
                <c:pt idx="57">
                  <c:v>8.9485576144532342</c:v>
                </c:pt>
                <c:pt idx="58">
                  <c:v>8.8798766477928943</c:v>
                </c:pt>
                <c:pt idx="59">
                  <c:v>8.8134850466879016</c:v>
                </c:pt>
                <c:pt idx="60">
                  <c:v>8.7492702193896292</c:v>
                </c:pt>
                <c:pt idx="61">
                  <c:v>8.6871268381332349</c:v>
                </c:pt>
                <c:pt idx="62">
                  <c:v>8.6269562626310154</c:v>
                </c:pt>
                <c:pt idx="63">
                  <c:v>8.5686660176132374</c:v>
                </c:pt>
                <c:pt idx="64">
                  <c:v>8.4368403865730333</c:v>
                </c:pt>
                <c:pt idx="65">
                  <c:v>8.3090094716249574</c:v>
                </c:pt>
                <c:pt idx="66">
                  <c:v>8.1849944048842875</c:v>
                </c:pt>
                <c:pt idx="67">
                  <c:v>8.0646268401065768</c:v>
                </c:pt>
                <c:pt idx="68">
                  <c:v>7.9477481902499596</c:v>
                </c:pt>
                <c:pt idx="69">
                  <c:v>7.8342089303892459</c:v>
                </c:pt>
                <c:pt idx="70">
                  <c:v>7.7238679595386932</c:v>
                </c:pt>
                <c:pt idx="71">
                  <c:v>7.6165920156562112</c:v>
                </c:pt>
                <c:pt idx="72">
                  <c:v>7.5122551387294143</c:v>
                </c:pt>
                <c:pt idx="73">
                  <c:v>7.410738177395233</c:v>
                </c:pt>
                <c:pt idx="74">
                  <c:v>7.3119283350299629</c:v>
                </c:pt>
                <c:pt idx="75">
                  <c:v>7.2157187516743058</c:v>
                </c:pt>
                <c:pt idx="76">
                  <c:v>7.1220081185356783</c:v>
                </c:pt>
                <c:pt idx="77">
                  <c:v>7.0307003221441953</c:v>
                </c:pt>
                <c:pt idx="78">
                  <c:v>6.9417041155347752</c:v>
                </c:pt>
                <c:pt idx="79">
                  <c:v>6.8549328140905903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6-4AA0-89AB-CB6701906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'J24-fix-G1'!$O$9:$O$88</c:f>
              <c:numCache>
                <c:formatCode>0.00</c:formatCode>
                <c:ptCount val="80"/>
                <c:pt idx="0">
                  <c:v>11.301614630245156</c:v>
                </c:pt>
                <c:pt idx="1">
                  <c:v>22.531005495789916</c:v>
                </c:pt>
                <c:pt idx="2">
                  <c:v>33.924013784104353</c:v>
                </c:pt>
                <c:pt idx="3">
                  <c:v>44.850200330894808</c:v>
                </c:pt>
                <c:pt idx="4">
                  <c:v>56.214927239961476</c:v>
                </c:pt>
                <c:pt idx="5">
                  <c:v>67.428376287203719</c:v>
                </c:pt>
                <c:pt idx="6">
                  <c:v>76.965412133271244</c:v>
                </c:pt>
                <c:pt idx="7">
                  <c:v>88.889108612306543</c:v>
                </c:pt>
                <c:pt idx="8">
                  <c:v>99.723543561565677</c:v>
                </c:pt>
                <c:pt idx="9">
                  <c:v>110.76369353055175</c:v>
                </c:pt>
                <c:pt idx="10">
                  <c:v>123.11133437107873</c:v>
                </c:pt>
                <c:pt idx="11">
                  <c:v>133.13700680976797</c:v>
                </c:pt>
                <c:pt idx="12">
                  <c:v>142.03622753076471</c:v>
                </c:pt>
                <c:pt idx="13">
                  <c:v>156.54512451169833</c:v>
                </c:pt>
                <c:pt idx="14">
                  <c:v>165.59234086991177</c:v>
                </c:pt>
                <c:pt idx="15">
                  <c:v>177.87670797153231</c:v>
                </c:pt>
                <c:pt idx="16">
                  <c:v>172.12335110510372</c:v>
                </c:pt>
                <c:pt idx="17">
                  <c:v>184.47495036141268</c:v>
                </c:pt>
                <c:pt idx="18">
                  <c:v>203.75816310254422</c:v>
                </c:pt>
                <c:pt idx="19">
                  <c:v>222.39072527034804</c:v>
                </c:pt>
                <c:pt idx="20">
                  <c:v>213.91359321039036</c:v>
                </c:pt>
                <c:pt idx="21">
                  <c:v>244.40247817521998</c:v>
                </c:pt>
                <c:pt idx="22">
                  <c:v>251.8380344599328</c:v>
                </c:pt>
                <c:pt idx="23">
                  <c:v>233.08018435669914</c:v>
                </c:pt>
                <c:pt idx="24">
                  <c:v>259.48123805680262</c:v>
                </c:pt>
                <c:pt idx="25">
                  <c:v>288.03547015232903</c:v>
                </c:pt>
                <c:pt idx="26">
                  <c:v>297.36569898868999</c:v>
                </c:pt>
                <c:pt idx="27">
                  <c:v>278.45552070020528</c:v>
                </c:pt>
                <c:pt idx="28">
                  <c:v>304.57613271905893</c:v>
                </c:pt>
                <c:pt idx="29">
                  <c:v>278.60799420859405</c:v>
                </c:pt>
                <c:pt idx="30">
                  <c:v>337.00095231118604</c:v>
                </c:pt>
                <c:pt idx="31">
                  <c:v>303.97297421279524</c:v>
                </c:pt>
                <c:pt idx="32">
                  <c:v>304.71573571103949</c:v>
                </c:pt>
                <c:pt idx="33">
                  <c:v>156.19660565096507</c:v>
                </c:pt>
                <c:pt idx="34">
                  <c:v>227.48727630930881</c:v>
                </c:pt>
                <c:pt idx="35">
                  <c:v>149.52517753945565</c:v>
                </c:pt>
                <c:pt idx="36">
                  <c:v>324.39182490658123</c:v>
                </c:pt>
                <c:pt idx="37">
                  <c:v>338.58057764965719</c:v>
                </c:pt>
                <c:pt idx="38">
                  <c:v>342.1136575550866</c:v>
                </c:pt>
                <c:pt idx="39">
                  <c:v>141.33762604190886</c:v>
                </c:pt>
                <c:pt idx="40">
                  <c:v>256.87857547759029</c:v>
                </c:pt>
                <c:pt idx="41">
                  <c:v>368.47682668832704</c:v>
                </c:pt>
                <c:pt idx="42">
                  <c:v>373.32690352547661</c:v>
                </c:pt>
                <c:pt idx="43">
                  <c:v>383.92443541313264</c:v>
                </c:pt>
                <c:pt idx="44">
                  <c:v>389.06444818259854</c:v>
                </c:pt>
                <c:pt idx="45">
                  <c:v>386.09083727862998</c:v>
                </c:pt>
                <c:pt idx="46">
                  <c:v>395.29282977558836</c:v>
                </c:pt>
                <c:pt idx="47">
                  <c:v>400.8363293443785</c:v>
                </c:pt>
                <c:pt idx="48">
                  <c:v>399.19011653426696</c:v>
                </c:pt>
                <c:pt idx="49">
                  <c:v>97.631760790148093</c:v>
                </c:pt>
                <c:pt idx="50">
                  <c:v>225.96319244048286</c:v>
                </c:pt>
                <c:pt idx="51">
                  <c:v>131.73038712571918</c:v>
                </c:pt>
                <c:pt idx="52">
                  <c:v>183.92414730185911</c:v>
                </c:pt>
                <c:pt idx="53">
                  <c:v>111.40169256470192</c:v>
                </c:pt>
                <c:pt idx="54">
                  <c:v>153.47115487527182</c:v>
                </c:pt>
                <c:pt idx="55">
                  <c:v>226.80140893867156</c:v>
                </c:pt>
                <c:pt idx="56">
                  <c:v>200.19502424625765</c:v>
                </c:pt>
                <c:pt idx="57">
                  <c:v>154.80865884200415</c:v>
                </c:pt>
                <c:pt idx="58">
                  <c:v>297.9816907442343</c:v>
                </c:pt>
                <c:pt idx="59">
                  <c:v>150.91079493747651</c:v>
                </c:pt>
                <c:pt idx="60">
                  <c:v>180.01488588197532</c:v>
                </c:pt>
                <c:pt idx="61">
                  <c:v>217.94012959417415</c:v>
                </c:pt>
                <c:pt idx="62">
                  <c:v>202.39108004814193</c:v>
                </c:pt>
                <c:pt idx="63">
                  <c:v>227.94050161107896</c:v>
                </c:pt>
                <c:pt idx="64">
                  <c:v>209.82515650773931</c:v>
                </c:pt>
                <c:pt idx="65">
                  <c:v>129.59563516029633</c:v>
                </c:pt>
                <c:pt idx="66">
                  <c:v>173.12791117872663</c:v>
                </c:pt>
                <c:pt idx="67">
                  <c:v>280.16439356520817</c:v>
                </c:pt>
                <c:pt idx="68">
                  <c:v>200.11093508239159</c:v>
                </c:pt>
                <c:pt idx="69">
                  <c:v>305.24345069901688</c:v>
                </c:pt>
                <c:pt idx="70">
                  <c:v>257.58176254605286</c:v>
                </c:pt>
                <c:pt idx="71">
                  <c:v>207.96480769131327</c:v>
                </c:pt>
                <c:pt idx="72">
                  <c:v>225.24813802917501</c:v>
                </c:pt>
                <c:pt idx="73">
                  <c:v>270.25826165148675</c:v>
                </c:pt>
                <c:pt idx="74">
                  <c:v>372.1241220229702</c:v>
                </c:pt>
                <c:pt idx="75">
                  <c:v>228.94331453544794</c:v>
                </c:pt>
                <c:pt idx="76">
                  <c:v>243.78280276646879</c:v>
                </c:pt>
                <c:pt idx="77">
                  <c:v>411.28545933881873</c:v>
                </c:pt>
                <c:pt idx="78">
                  <c:v>367.48642913992234</c:v>
                </c:pt>
                <c:pt idx="79">
                  <c:v>230.73916936505361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5-4A6F-8B22-96EC79E07A7C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'J24-fix-G1'!$Q$9:$Q$88</c:f>
              <c:numCache>
                <c:formatCode>0.00</c:formatCode>
                <c:ptCount val="80"/>
                <c:pt idx="0">
                  <c:v>11.301614630245156</c:v>
                </c:pt>
                <c:pt idx="1">
                  <c:v>22.603229260490313</c:v>
                </c:pt>
                <c:pt idx="2">
                  <c:v>33.904843890735471</c:v>
                </c:pt>
                <c:pt idx="3">
                  <c:v>45.206458520980625</c:v>
                </c:pt>
                <c:pt idx="4">
                  <c:v>56.50807315122578</c:v>
                </c:pt>
                <c:pt idx="5">
                  <c:v>67.809687781470942</c:v>
                </c:pt>
                <c:pt idx="6">
                  <c:v>79.11130241171611</c:v>
                </c:pt>
                <c:pt idx="7">
                  <c:v>90.412917041961251</c:v>
                </c:pt>
                <c:pt idx="8">
                  <c:v>101.71453167220641</c:v>
                </c:pt>
                <c:pt idx="9">
                  <c:v>113.01614630245156</c:v>
                </c:pt>
                <c:pt idx="10">
                  <c:v>124.31776093269673</c:v>
                </c:pt>
                <c:pt idx="11">
                  <c:v>135.61937556294188</c:v>
                </c:pt>
                <c:pt idx="12">
                  <c:v>146.92099019318704</c:v>
                </c:pt>
                <c:pt idx="13">
                  <c:v>158.22260482343222</c:v>
                </c:pt>
                <c:pt idx="14">
                  <c:v>169.52421945367735</c:v>
                </c:pt>
                <c:pt idx="15">
                  <c:v>180.8258340839225</c:v>
                </c:pt>
                <c:pt idx="16">
                  <c:v>192.12744871416766</c:v>
                </c:pt>
                <c:pt idx="17">
                  <c:v>203.42906334441281</c:v>
                </c:pt>
                <c:pt idx="18">
                  <c:v>214.73067797465799</c:v>
                </c:pt>
                <c:pt idx="19">
                  <c:v>226.03229260490312</c:v>
                </c:pt>
                <c:pt idx="20">
                  <c:v>237.33390723514827</c:v>
                </c:pt>
                <c:pt idx="21">
                  <c:v>248.63552186539346</c:v>
                </c:pt>
                <c:pt idx="22">
                  <c:v>259.93713649563858</c:v>
                </c:pt>
                <c:pt idx="23">
                  <c:v>271.23875112588377</c:v>
                </c:pt>
                <c:pt idx="24">
                  <c:v>282.54036575612889</c:v>
                </c:pt>
                <c:pt idx="25">
                  <c:v>293.84198038637408</c:v>
                </c:pt>
                <c:pt idx="26">
                  <c:v>305.1435950166192</c:v>
                </c:pt>
                <c:pt idx="27">
                  <c:v>316.44520964686444</c:v>
                </c:pt>
                <c:pt idx="28">
                  <c:v>327.74682427710957</c:v>
                </c:pt>
                <c:pt idx="29">
                  <c:v>339.04843890735469</c:v>
                </c:pt>
                <c:pt idx="30">
                  <c:v>350.35005353759988</c:v>
                </c:pt>
                <c:pt idx="31">
                  <c:v>361.651668167845</c:v>
                </c:pt>
                <c:pt idx="32">
                  <c:v>366.17231401994303</c:v>
                </c:pt>
                <c:pt idx="33">
                  <c:v>370.69295987204111</c:v>
                </c:pt>
                <c:pt idx="34">
                  <c:v>375.2136057241392</c:v>
                </c:pt>
                <c:pt idx="35">
                  <c:v>379.73425157623728</c:v>
                </c:pt>
                <c:pt idx="36">
                  <c:v>384.25489742833531</c:v>
                </c:pt>
                <c:pt idx="37">
                  <c:v>388.7755432804334</c:v>
                </c:pt>
                <c:pt idx="38">
                  <c:v>393.29618913253148</c:v>
                </c:pt>
                <c:pt idx="39">
                  <c:v>397.81683498462951</c:v>
                </c:pt>
                <c:pt idx="40">
                  <c:v>402.33748083672754</c:v>
                </c:pt>
                <c:pt idx="41">
                  <c:v>406.85812668882562</c:v>
                </c:pt>
                <c:pt idx="42">
                  <c:v>411.37877254092371</c:v>
                </c:pt>
                <c:pt idx="43">
                  <c:v>415.89941839302179</c:v>
                </c:pt>
                <c:pt idx="44">
                  <c:v>420.42006424511982</c:v>
                </c:pt>
                <c:pt idx="45">
                  <c:v>424.9407100972179</c:v>
                </c:pt>
                <c:pt idx="46">
                  <c:v>429.46135594931599</c:v>
                </c:pt>
                <c:pt idx="47">
                  <c:v>433.98200180141401</c:v>
                </c:pt>
                <c:pt idx="48">
                  <c:v>438.50264765351204</c:v>
                </c:pt>
                <c:pt idx="49">
                  <c:v>443.02329350561013</c:v>
                </c:pt>
                <c:pt idx="50">
                  <c:v>447.54393935770821</c:v>
                </c:pt>
                <c:pt idx="51">
                  <c:v>452.06458520980624</c:v>
                </c:pt>
                <c:pt idx="52">
                  <c:v>456.58523106190432</c:v>
                </c:pt>
                <c:pt idx="53">
                  <c:v>461.10587691400241</c:v>
                </c:pt>
                <c:pt idx="54">
                  <c:v>465.62652276610049</c:v>
                </c:pt>
                <c:pt idx="55">
                  <c:v>470.14716861819852</c:v>
                </c:pt>
                <c:pt idx="56">
                  <c:v>474.66781447029655</c:v>
                </c:pt>
                <c:pt idx="57">
                  <c:v>479.18846032239463</c:v>
                </c:pt>
                <c:pt idx="58">
                  <c:v>483.70910617449272</c:v>
                </c:pt>
                <c:pt idx="59">
                  <c:v>488.22975202659075</c:v>
                </c:pt>
                <c:pt idx="60">
                  <c:v>492.75039787868883</c:v>
                </c:pt>
                <c:pt idx="61">
                  <c:v>497.27104373078691</c:v>
                </c:pt>
                <c:pt idx="62">
                  <c:v>501.79168958288494</c:v>
                </c:pt>
                <c:pt idx="63">
                  <c:v>506.31233543498303</c:v>
                </c:pt>
                <c:pt idx="64">
                  <c:v>506.31233543498303</c:v>
                </c:pt>
                <c:pt idx="65">
                  <c:v>506.31233543498303</c:v>
                </c:pt>
                <c:pt idx="66">
                  <c:v>506.31233543498303</c:v>
                </c:pt>
                <c:pt idx="67">
                  <c:v>506.31233543498303</c:v>
                </c:pt>
                <c:pt idx="68">
                  <c:v>506.31233543498303</c:v>
                </c:pt>
                <c:pt idx="69">
                  <c:v>506.31233543498303</c:v>
                </c:pt>
                <c:pt idx="70">
                  <c:v>506.31233543498303</c:v>
                </c:pt>
                <c:pt idx="71">
                  <c:v>506.31233543498303</c:v>
                </c:pt>
                <c:pt idx="72">
                  <c:v>506.31233543498303</c:v>
                </c:pt>
                <c:pt idx="73">
                  <c:v>506.31233543498303</c:v>
                </c:pt>
                <c:pt idx="74">
                  <c:v>506.31233543498303</c:v>
                </c:pt>
                <c:pt idx="75">
                  <c:v>506.31233543498303</c:v>
                </c:pt>
                <c:pt idx="76">
                  <c:v>506.31233543498303</c:v>
                </c:pt>
                <c:pt idx="77">
                  <c:v>506.31233543498303</c:v>
                </c:pt>
                <c:pt idx="78">
                  <c:v>506.31233543498303</c:v>
                </c:pt>
                <c:pt idx="79">
                  <c:v>506.31233543498303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5-4A6F-8B22-96EC79E07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5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'J24-fix-G1'!$P$9:$P$88</c:f>
              <c:numCache>
                <c:formatCode>0.00</c:formatCode>
                <c:ptCount val="80"/>
                <c:pt idx="0">
                  <c:v>11.301614630245156</c:v>
                </c:pt>
                <c:pt idx="1">
                  <c:v>11.265502747894958</c:v>
                </c:pt>
                <c:pt idx="2">
                  <c:v>11.308004594701453</c:v>
                </c:pt>
                <c:pt idx="3">
                  <c:v>11.212550082723702</c:v>
                </c:pt>
                <c:pt idx="4">
                  <c:v>11.242985447992295</c:v>
                </c:pt>
                <c:pt idx="5">
                  <c:v>11.238062714533953</c:v>
                </c:pt>
                <c:pt idx="6">
                  <c:v>10.995058876181607</c:v>
                </c:pt>
                <c:pt idx="7">
                  <c:v>11.111138576538318</c:v>
                </c:pt>
                <c:pt idx="8">
                  <c:v>11.080393729062854</c:v>
                </c:pt>
                <c:pt idx="9">
                  <c:v>11.076369353055174</c:v>
                </c:pt>
                <c:pt idx="10">
                  <c:v>11.191939488279885</c:v>
                </c:pt>
                <c:pt idx="11">
                  <c:v>11.094750567480666</c:v>
                </c:pt>
                <c:pt idx="12">
                  <c:v>10.925863656212671</c:v>
                </c:pt>
                <c:pt idx="13">
                  <c:v>11.181794607978453</c:v>
                </c:pt>
                <c:pt idx="14">
                  <c:v>11.03948939132745</c:v>
                </c:pt>
                <c:pt idx="15">
                  <c:v>11.11729424822077</c:v>
                </c:pt>
                <c:pt idx="16">
                  <c:v>10.124903006182572</c:v>
                </c:pt>
                <c:pt idx="17">
                  <c:v>10.248608353411816</c:v>
                </c:pt>
                <c:pt idx="18">
                  <c:v>10.724113847502327</c:v>
                </c:pt>
                <c:pt idx="19">
                  <c:v>11.1195362635174</c:v>
                </c:pt>
                <c:pt idx="20">
                  <c:v>10.186361581447162</c:v>
                </c:pt>
                <c:pt idx="21">
                  <c:v>11.109203553419089</c:v>
                </c:pt>
                <c:pt idx="22">
                  <c:v>10.949479759127513</c:v>
                </c:pt>
                <c:pt idx="23">
                  <c:v>9.7116743481957979</c:v>
                </c:pt>
                <c:pt idx="24">
                  <c:v>10.379249522272106</c:v>
                </c:pt>
                <c:pt idx="25">
                  <c:v>11.078287313551115</c:v>
                </c:pt>
                <c:pt idx="26">
                  <c:v>11.013544406988517</c:v>
                </c:pt>
                <c:pt idx="27">
                  <c:v>9.9448400250073306</c:v>
                </c:pt>
                <c:pt idx="28">
                  <c:v>10.502625266174444</c:v>
                </c:pt>
                <c:pt idx="29">
                  <c:v>9.2869331402864681</c:v>
                </c:pt>
                <c:pt idx="30">
                  <c:v>10.870998461651162</c:v>
                </c:pt>
                <c:pt idx="31">
                  <c:v>9.4991554441498511</c:v>
                </c:pt>
                <c:pt idx="32">
                  <c:v>9.2338101730618032</c:v>
                </c:pt>
                <c:pt idx="33">
                  <c:v>4.5940178132636778</c:v>
                </c:pt>
                <c:pt idx="34">
                  <c:v>6.4996364659802515</c:v>
                </c:pt>
                <c:pt idx="35">
                  <c:v>4.1534771538737685</c:v>
                </c:pt>
                <c:pt idx="36">
                  <c:v>8.7673466190967915</c:v>
                </c:pt>
                <c:pt idx="37">
                  <c:v>8.9100152013067682</c:v>
                </c:pt>
                <c:pt idx="38">
                  <c:v>8.7721450655150406</c:v>
                </c:pt>
                <c:pt idx="39">
                  <c:v>3.5334406510477216</c:v>
                </c:pt>
                <c:pt idx="40">
                  <c:v>6.2653311092095185</c:v>
                </c:pt>
                <c:pt idx="41">
                  <c:v>8.7732577782935</c:v>
                </c:pt>
                <c:pt idx="42">
                  <c:v>8.6820210122203871</c:v>
                </c:pt>
                <c:pt idx="43">
                  <c:v>8.7255553502984711</c:v>
                </c:pt>
                <c:pt idx="44">
                  <c:v>8.6458766262799678</c:v>
                </c:pt>
                <c:pt idx="45">
                  <c:v>8.3932790712745629</c:v>
                </c:pt>
                <c:pt idx="46">
                  <c:v>8.4104857399061359</c:v>
                </c:pt>
                <c:pt idx="47">
                  <c:v>8.3507568613412193</c:v>
                </c:pt>
                <c:pt idx="48">
                  <c:v>8.1467370721278964</c:v>
                </c:pt>
                <c:pt idx="49">
                  <c:v>1.9526352158029621</c:v>
                </c:pt>
                <c:pt idx="50">
                  <c:v>4.4306508321663296</c:v>
                </c:pt>
                <c:pt idx="51">
                  <c:v>2.5332766754946001</c:v>
                </c:pt>
                <c:pt idx="52">
                  <c:v>3.4702669302237568</c:v>
                </c:pt>
                <c:pt idx="53">
                  <c:v>2.0629943067537391</c:v>
                </c:pt>
                <c:pt idx="54">
                  <c:v>2.7903846340958514</c:v>
                </c:pt>
                <c:pt idx="55">
                  <c:v>4.0500251596191355</c:v>
                </c:pt>
                <c:pt idx="56">
                  <c:v>3.5121934078290811</c:v>
                </c:pt>
                <c:pt idx="57">
                  <c:v>2.6691148076207614</c:v>
                </c:pt>
                <c:pt idx="58">
                  <c:v>5.050537131258209</c:v>
                </c:pt>
                <c:pt idx="59">
                  <c:v>2.5151799156246084</c:v>
                </c:pt>
                <c:pt idx="60">
                  <c:v>2.9510637029832023</c:v>
                </c:pt>
                <c:pt idx="61">
                  <c:v>3.5151633805511961</c:v>
                </c:pt>
                <c:pt idx="62">
                  <c:v>3.2125568261609829</c:v>
                </c:pt>
                <c:pt idx="63">
                  <c:v>3.5615703376731087</c:v>
                </c:pt>
                <c:pt idx="64">
                  <c:v>3.2280793308882973</c:v>
                </c:pt>
                <c:pt idx="65">
                  <c:v>1.9635702297014594</c:v>
                </c:pt>
                <c:pt idx="66">
                  <c:v>2.583998674309353</c:v>
                </c:pt>
                <c:pt idx="67">
                  <c:v>4.1200646112530617</c:v>
                </c:pt>
                <c:pt idx="68">
                  <c:v>2.9001584794549511</c:v>
                </c:pt>
                <c:pt idx="69">
                  <c:v>4.3606207242716701</c:v>
                </c:pt>
                <c:pt idx="70">
                  <c:v>3.6279121485359558</c:v>
                </c:pt>
                <c:pt idx="71">
                  <c:v>2.8884001068237959</c:v>
                </c:pt>
                <c:pt idx="72">
                  <c:v>3.0855909319065069</c:v>
                </c:pt>
                <c:pt idx="73">
                  <c:v>3.6521386709660373</c:v>
                </c:pt>
                <c:pt idx="74">
                  <c:v>4.9616549603062694</c:v>
                </c:pt>
                <c:pt idx="75">
                  <c:v>3.0124120333611568</c:v>
                </c:pt>
                <c:pt idx="76">
                  <c:v>3.1660104255385564</c:v>
                </c:pt>
                <c:pt idx="77">
                  <c:v>5.2728905043438301</c:v>
                </c:pt>
                <c:pt idx="78">
                  <c:v>4.6517269511382571</c:v>
                </c:pt>
                <c:pt idx="79">
                  <c:v>2.8842396170631699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D64-A46A-C9D4B91F14C5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'J24-fix-G1'!$R$9:$R$88</c:f>
              <c:numCache>
                <c:formatCode>0.00</c:formatCode>
                <c:ptCount val="80"/>
                <c:pt idx="0">
                  <c:v>11.301614630245156</c:v>
                </c:pt>
                <c:pt idx="1">
                  <c:v>11.301614630245156</c:v>
                </c:pt>
                <c:pt idx="2">
                  <c:v>11.301614630245156</c:v>
                </c:pt>
                <c:pt idx="3">
                  <c:v>11.301614630245156</c:v>
                </c:pt>
                <c:pt idx="4">
                  <c:v>11.301614630245156</c:v>
                </c:pt>
                <c:pt idx="5">
                  <c:v>11.301614630245156</c:v>
                </c:pt>
                <c:pt idx="6">
                  <c:v>11.301614630245158</c:v>
                </c:pt>
                <c:pt idx="7">
                  <c:v>11.301614630245156</c:v>
                </c:pt>
                <c:pt idx="8">
                  <c:v>11.301614630245156</c:v>
                </c:pt>
                <c:pt idx="9">
                  <c:v>11.301614630245156</c:v>
                </c:pt>
                <c:pt idx="10">
                  <c:v>11.301614630245156</c:v>
                </c:pt>
                <c:pt idx="11">
                  <c:v>11.301614630245156</c:v>
                </c:pt>
                <c:pt idx="12">
                  <c:v>11.301614630245156</c:v>
                </c:pt>
                <c:pt idx="13">
                  <c:v>11.301614630245158</c:v>
                </c:pt>
                <c:pt idx="14">
                  <c:v>11.301614630245156</c:v>
                </c:pt>
                <c:pt idx="15">
                  <c:v>11.301614630245156</c:v>
                </c:pt>
                <c:pt idx="16">
                  <c:v>11.301614630245156</c:v>
                </c:pt>
                <c:pt idx="17">
                  <c:v>11.301614630245156</c:v>
                </c:pt>
                <c:pt idx="18">
                  <c:v>11.301614630245156</c:v>
                </c:pt>
                <c:pt idx="19">
                  <c:v>11.301614630245156</c:v>
                </c:pt>
                <c:pt idx="20">
                  <c:v>11.301614630245156</c:v>
                </c:pt>
                <c:pt idx="21">
                  <c:v>11.301614630245156</c:v>
                </c:pt>
                <c:pt idx="22">
                  <c:v>11.301614630245156</c:v>
                </c:pt>
                <c:pt idx="23">
                  <c:v>11.301614630245156</c:v>
                </c:pt>
                <c:pt idx="24">
                  <c:v>11.301614630245156</c:v>
                </c:pt>
                <c:pt idx="25">
                  <c:v>11.301614630245156</c:v>
                </c:pt>
                <c:pt idx="26">
                  <c:v>11.301614630245156</c:v>
                </c:pt>
                <c:pt idx="27">
                  <c:v>11.301614630245158</c:v>
                </c:pt>
                <c:pt idx="28">
                  <c:v>11.301614630245156</c:v>
                </c:pt>
                <c:pt idx="29">
                  <c:v>11.301614630245156</c:v>
                </c:pt>
                <c:pt idx="30">
                  <c:v>11.301614630245156</c:v>
                </c:pt>
                <c:pt idx="31">
                  <c:v>11.301614630245156</c:v>
                </c:pt>
                <c:pt idx="32">
                  <c:v>11.096130727877062</c:v>
                </c:pt>
                <c:pt idx="33">
                  <c:v>10.902734113883563</c:v>
                </c:pt>
                <c:pt idx="34">
                  <c:v>10.720388734975407</c:v>
                </c:pt>
                <c:pt idx="35">
                  <c:v>10.548173654895479</c:v>
                </c:pt>
                <c:pt idx="36">
                  <c:v>10.385267498063117</c:v>
                </c:pt>
                <c:pt idx="37">
                  <c:v>10.23093534948509</c:v>
                </c:pt>
                <c:pt idx="38">
                  <c:v>10.08451767006491</c:v>
                </c:pt>
                <c:pt idx="39">
                  <c:v>9.9454208746157384</c:v>
                </c:pt>
                <c:pt idx="40">
                  <c:v>9.8131092887006712</c:v>
                </c:pt>
                <c:pt idx="41">
                  <c:v>9.6870982544958473</c:v>
                </c:pt>
                <c:pt idx="42">
                  <c:v>9.5669481986261324</c:v>
                </c:pt>
                <c:pt idx="43">
                  <c:v>9.4522595089323129</c:v>
                </c:pt>
                <c:pt idx="44">
                  <c:v>9.3426680943359948</c:v>
                </c:pt>
                <c:pt idx="45">
                  <c:v>9.2378415238525626</c:v>
                </c:pt>
                <c:pt idx="46">
                  <c:v>9.1374756584960846</c:v>
                </c:pt>
                <c:pt idx="47">
                  <c:v>9.0412917041961247</c:v>
                </c:pt>
                <c:pt idx="48">
                  <c:v>8.9490336255818796</c:v>
                </c:pt>
                <c:pt idx="49">
                  <c:v>8.8604658701122023</c:v>
                </c:pt>
                <c:pt idx="50">
                  <c:v>8.7753713599550629</c:v>
                </c:pt>
                <c:pt idx="51">
                  <c:v>8.693549715573198</c:v>
                </c:pt>
                <c:pt idx="52">
                  <c:v>8.6148156804132885</c:v>
                </c:pt>
                <c:pt idx="53">
                  <c:v>8.5389977206296752</c:v>
                </c:pt>
                <c:pt idx="54">
                  <c:v>8.4659367775654619</c:v>
                </c:pt>
                <c:pt idx="55">
                  <c:v>8.3954851538964022</c:v>
                </c:pt>
                <c:pt idx="56">
                  <c:v>8.3275055170227468</c:v>
                </c:pt>
                <c:pt idx="57">
                  <c:v>8.2618700055585279</c:v>
                </c:pt>
                <c:pt idx="58">
                  <c:v>8.198459426686318</c:v>
                </c:pt>
                <c:pt idx="59">
                  <c:v>8.1371625337765128</c:v>
                </c:pt>
                <c:pt idx="60">
                  <c:v>8.0778753750604722</c:v>
                </c:pt>
                <c:pt idx="61">
                  <c:v>8.020500705335273</c:v>
                </c:pt>
                <c:pt idx="62">
                  <c:v>7.9649474536965874</c:v>
                </c:pt>
                <c:pt idx="63">
                  <c:v>7.9111302411716098</c:v>
                </c:pt>
                <c:pt idx="64">
                  <c:v>7.7894205451535852</c:v>
                </c:pt>
                <c:pt idx="65">
                  <c:v>7.6713990217421673</c:v>
                </c:pt>
                <c:pt idx="66">
                  <c:v>7.5569005288803437</c:v>
                </c:pt>
                <c:pt idx="67">
                  <c:v>7.4457696387497503</c:v>
                </c:pt>
                <c:pt idx="68">
                  <c:v>7.3378599338403339</c:v>
                </c:pt>
                <c:pt idx="69">
                  <c:v>7.2330333633569008</c:v>
                </c:pt>
                <c:pt idx="70">
                  <c:v>7.1311596540138451</c:v>
                </c:pt>
                <c:pt idx="71">
                  <c:v>7.0321157699303196</c:v>
                </c:pt>
                <c:pt idx="72">
                  <c:v>6.9357854169175752</c:v>
                </c:pt>
                <c:pt idx="73">
                  <c:v>6.8420585869592294</c:v>
                </c:pt>
                <c:pt idx="74">
                  <c:v>6.7508311391331066</c:v>
                </c:pt>
                <c:pt idx="75">
                  <c:v>6.662004413618198</c:v>
                </c:pt>
                <c:pt idx="76">
                  <c:v>6.5754848757789999</c:v>
                </c:pt>
                <c:pt idx="77">
                  <c:v>6.4911837876279872</c:v>
                </c:pt>
                <c:pt idx="78">
                  <c:v>6.4090169042402918</c:v>
                </c:pt>
                <c:pt idx="79">
                  <c:v>6.3289041929372871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8-4D64-A46A-C9D4B91F1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'J24-dyn-G1'!$O$9:$O$88</c:f>
              <c:numCache>
                <c:formatCode>0.00</c:formatCode>
                <c:ptCount val="80"/>
                <c:pt idx="0">
                  <c:v>11.182807988061047</c:v>
                </c:pt>
                <c:pt idx="1">
                  <c:v>22.044530697119598</c:v>
                </c:pt>
                <c:pt idx="2">
                  <c:v>33.143837010053424</c:v>
                </c:pt>
                <c:pt idx="3">
                  <c:v>43.901214039905128</c:v>
                </c:pt>
                <c:pt idx="4">
                  <c:v>54.704769809310768</c:v>
                </c:pt>
                <c:pt idx="5">
                  <c:v>66.385988871930593</c:v>
                </c:pt>
                <c:pt idx="6">
                  <c:v>76.237288794345076</c:v>
                </c:pt>
                <c:pt idx="7">
                  <c:v>87.770438918538645</c:v>
                </c:pt>
                <c:pt idx="8">
                  <c:v>98.426898843667573</c:v>
                </c:pt>
                <c:pt idx="9">
                  <c:v>110.13366750773388</c:v>
                </c:pt>
                <c:pt idx="10">
                  <c:v>121.32909901826804</c:v>
                </c:pt>
                <c:pt idx="11">
                  <c:v>130.84006601338743</c:v>
                </c:pt>
                <c:pt idx="12">
                  <c:v>143.30408884473601</c:v>
                </c:pt>
                <c:pt idx="13">
                  <c:v>153.62516355865236</c:v>
                </c:pt>
                <c:pt idx="14">
                  <c:v>164.61225765231751</c:v>
                </c:pt>
                <c:pt idx="15">
                  <c:v>174.84383731260573</c:v>
                </c:pt>
                <c:pt idx="16">
                  <c:v>188.05497664018205</c:v>
                </c:pt>
                <c:pt idx="17">
                  <c:v>197.80283477246149</c:v>
                </c:pt>
                <c:pt idx="18">
                  <c:v>208.52889043600734</c:v>
                </c:pt>
                <c:pt idx="19">
                  <c:v>221.63989541539303</c:v>
                </c:pt>
                <c:pt idx="20">
                  <c:v>229.44670533050217</c:v>
                </c:pt>
                <c:pt idx="21">
                  <c:v>244.28124443159004</c:v>
                </c:pt>
                <c:pt idx="22">
                  <c:v>253.55132693449448</c:v>
                </c:pt>
                <c:pt idx="23">
                  <c:v>263.70361891995378</c:v>
                </c:pt>
                <c:pt idx="24">
                  <c:v>276.09634752491894</c:v>
                </c:pt>
                <c:pt idx="25">
                  <c:v>287.93289171969747</c:v>
                </c:pt>
                <c:pt idx="26">
                  <c:v>298.91594276132628</c:v>
                </c:pt>
                <c:pt idx="27">
                  <c:v>307.0966890599575</c:v>
                </c:pt>
                <c:pt idx="28">
                  <c:v>323.06549477501648</c:v>
                </c:pt>
                <c:pt idx="29">
                  <c:v>329.58318857314896</c:v>
                </c:pt>
                <c:pt idx="30">
                  <c:v>343.3680772925523</c:v>
                </c:pt>
                <c:pt idx="31">
                  <c:v>351.65491586083868</c:v>
                </c:pt>
                <c:pt idx="32">
                  <c:v>353.71320259278184</c:v>
                </c:pt>
                <c:pt idx="33">
                  <c:v>356.15534083762509</c:v>
                </c:pt>
                <c:pt idx="34">
                  <c:v>363.70598156387075</c:v>
                </c:pt>
                <c:pt idx="35">
                  <c:v>366.03984360454291</c:v>
                </c:pt>
                <c:pt idx="36">
                  <c:v>371.61640902455872</c:v>
                </c:pt>
                <c:pt idx="37">
                  <c:v>373.18157391073242</c:v>
                </c:pt>
                <c:pt idx="38">
                  <c:v>379.44028472904421</c:v>
                </c:pt>
                <c:pt idx="39">
                  <c:v>381.15128057594353</c:v>
                </c:pt>
                <c:pt idx="40">
                  <c:v>385.96433480192587</c:v>
                </c:pt>
                <c:pt idx="41">
                  <c:v>391.88863925290866</c:v>
                </c:pt>
                <c:pt idx="42">
                  <c:v>396.44016367407409</c:v>
                </c:pt>
                <c:pt idx="43">
                  <c:v>395.746460622668</c:v>
                </c:pt>
                <c:pt idx="44">
                  <c:v>402.76042867716365</c:v>
                </c:pt>
                <c:pt idx="45">
                  <c:v>408.89681466696862</c:v>
                </c:pt>
                <c:pt idx="46">
                  <c:v>413.26798330196885</c:v>
                </c:pt>
                <c:pt idx="47">
                  <c:v>415.94974644680639</c:v>
                </c:pt>
                <c:pt idx="48">
                  <c:v>415.74979428770041</c:v>
                </c:pt>
                <c:pt idx="49">
                  <c:v>410.72383969811455</c:v>
                </c:pt>
                <c:pt idx="50">
                  <c:v>404.8085924655972</c:v>
                </c:pt>
                <c:pt idx="51">
                  <c:v>427.83828916499954</c:v>
                </c:pt>
                <c:pt idx="52">
                  <c:v>411.40448766684079</c:v>
                </c:pt>
                <c:pt idx="53">
                  <c:v>427.87192514979978</c:v>
                </c:pt>
                <c:pt idx="54">
                  <c:v>413.22525410042431</c:v>
                </c:pt>
                <c:pt idx="55">
                  <c:v>427.91881810969664</c:v>
                </c:pt>
                <c:pt idx="56">
                  <c:v>436.30167264586692</c:v>
                </c:pt>
                <c:pt idx="57">
                  <c:v>437.27467916981618</c:v>
                </c:pt>
                <c:pt idx="58">
                  <c:v>440.66066278042155</c:v>
                </c:pt>
                <c:pt idx="59">
                  <c:v>432.83137436172882</c:v>
                </c:pt>
                <c:pt idx="60">
                  <c:v>453.27391785468023</c:v>
                </c:pt>
                <c:pt idx="61">
                  <c:v>460.00361590217653</c:v>
                </c:pt>
                <c:pt idx="62">
                  <c:v>460.08476117845436</c:v>
                </c:pt>
                <c:pt idx="63">
                  <c:v>458.37282752293254</c:v>
                </c:pt>
                <c:pt idx="64">
                  <c:v>471.97091289718577</c:v>
                </c:pt>
                <c:pt idx="65">
                  <c:v>456.41660722664903</c:v>
                </c:pt>
                <c:pt idx="66">
                  <c:v>471.98781345735387</c:v>
                </c:pt>
                <c:pt idx="67">
                  <c:v>450.78090223717112</c:v>
                </c:pt>
                <c:pt idx="68">
                  <c:v>458.13352609197466</c:v>
                </c:pt>
                <c:pt idx="69">
                  <c:v>474.34750499362104</c:v>
                </c:pt>
                <c:pt idx="70">
                  <c:v>465.84535851707216</c:v>
                </c:pt>
                <c:pt idx="71">
                  <c:v>458.2778312624099</c:v>
                </c:pt>
                <c:pt idx="72">
                  <c:v>466.6864319270382</c:v>
                </c:pt>
                <c:pt idx="73">
                  <c:v>455.2574658780303</c:v>
                </c:pt>
                <c:pt idx="74">
                  <c:v>469.87556814789804</c:v>
                </c:pt>
                <c:pt idx="75">
                  <c:v>468.475222497299</c:v>
                </c:pt>
                <c:pt idx="76">
                  <c:v>468.65792561080531</c:v>
                </c:pt>
                <c:pt idx="77">
                  <c:v>467.99617336004059</c:v>
                </c:pt>
                <c:pt idx="78">
                  <c:v>464.70583711548522</c:v>
                </c:pt>
                <c:pt idx="79">
                  <c:v>463.49086633516902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1-46EC-91FA-3B8E582342C8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'J24-dyn-G1'!$Q$9:$Q$88</c:f>
              <c:numCache>
                <c:formatCode>0.00</c:formatCode>
                <c:ptCount val="80"/>
                <c:pt idx="0">
                  <c:v>11.182807988061047</c:v>
                </c:pt>
                <c:pt idx="1">
                  <c:v>22.365615976122093</c:v>
                </c:pt>
                <c:pt idx="2">
                  <c:v>33.548423964183137</c:v>
                </c:pt>
                <c:pt idx="3">
                  <c:v>44.731231952244187</c:v>
                </c:pt>
                <c:pt idx="4">
                  <c:v>55.91403994030523</c:v>
                </c:pt>
                <c:pt idx="5">
                  <c:v>67.096847928366273</c:v>
                </c:pt>
                <c:pt idx="6">
                  <c:v>78.27965591642733</c:v>
                </c:pt>
                <c:pt idx="7">
                  <c:v>89.462463904488374</c:v>
                </c:pt>
                <c:pt idx="8">
                  <c:v>100.64527189254942</c:v>
                </c:pt>
                <c:pt idx="9">
                  <c:v>111.82807988061046</c:v>
                </c:pt>
                <c:pt idx="10">
                  <c:v>123.0108878686715</c:v>
                </c:pt>
                <c:pt idx="11">
                  <c:v>134.19369585673255</c:v>
                </c:pt>
                <c:pt idx="12">
                  <c:v>145.37650384479358</c:v>
                </c:pt>
                <c:pt idx="13">
                  <c:v>156.55931183285466</c:v>
                </c:pt>
                <c:pt idx="14">
                  <c:v>167.74211982091569</c:v>
                </c:pt>
                <c:pt idx="15">
                  <c:v>178.92492780897675</c:v>
                </c:pt>
                <c:pt idx="16">
                  <c:v>190.10773579703778</c:v>
                </c:pt>
                <c:pt idx="17">
                  <c:v>201.29054378509883</c:v>
                </c:pt>
                <c:pt idx="18">
                  <c:v>212.47335177315989</c:v>
                </c:pt>
                <c:pt idx="19">
                  <c:v>223.65615976122092</c:v>
                </c:pt>
                <c:pt idx="20">
                  <c:v>234.83896774928198</c:v>
                </c:pt>
                <c:pt idx="21">
                  <c:v>246.02177573734301</c:v>
                </c:pt>
                <c:pt idx="22">
                  <c:v>257.20458372540406</c:v>
                </c:pt>
                <c:pt idx="23">
                  <c:v>268.38739171346509</c:v>
                </c:pt>
                <c:pt idx="24">
                  <c:v>279.57019970152618</c:v>
                </c:pt>
                <c:pt idx="25">
                  <c:v>290.75300768958715</c:v>
                </c:pt>
                <c:pt idx="26">
                  <c:v>301.93581567764824</c:v>
                </c:pt>
                <c:pt idx="27">
                  <c:v>313.11862366570932</c:v>
                </c:pt>
                <c:pt idx="28">
                  <c:v>324.30143165377035</c:v>
                </c:pt>
                <c:pt idx="29">
                  <c:v>335.48423964183138</c:v>
                </c:pt>
                <c:pt idx="30">
                  <c:v>346.66704762989241</c:v>
                </c:pt>
                <c:pt idx="31">
                  <c:v>357.84985561795349</c:v>
                </c:pt>
                <c:pt idx="32">
                  <c:v>362.32297881317788</c:v>
                </c:pt>
                <c:pt idx="33">
                  <c:v>366.79610200840227</c:v>
                </c:pt>
                <c:pt idx="34">
                  <c:v>371.26922520362677</c:v>
                </c:pt>
                <c:pt idx="35">
                  <c:v>375.74234839885116</c:v>
                </c:pt>
                <c:pt idx="36">
                  <c:v>380.21547159407555</c:v>
                </c:pt>
                <c:pt idx="37">
                  <c:v>384.68859478929994</c:v>
                </c:pt>
                <c:pt idx="38">
                  <c:v>389.16171798452444</c:v>
                </c:pt>
                <c:pt idx="39">
                  <c:v>393.63484117974883</c:v>
                </c:pt>
                <c:pt idx="40">
                  <c:v>398.10796437497322</c:v>
                </c:pt>
                <c:pt idx="41">
                  <c:v>402.58108757019772</c:v>
                </c:pt>
                <c:pt idx="42">
                  <c:v>407.05421076542211</c:v>
                </c:pt>
                <c:pt idx="43">
                  <c:v>411.5273339606465</c:v>
                </c:pt>
                <c:pt idx="44">
                  <c:v>416.00045715587089</c:v>
                </c:pt>
                <c:pt idx="45">
                  <c:v>420.47358035109534</c:v>
                </c:pt>
                <c:pt idx="46">
                  <c:v>424.94670354631978</c:v>
                </c:pt>
                <c:pt idx="47">
                  <c:v>429.41982674154417</c:v>
                </c:pt>
                <c:pt idx="48">
                  <c:v>433.89294993676862</c:v>
                </c:pt>
                <c:pt idx="49">
                  <c:v>438.36607313199301</c:v>
                </c:pt>
                <c:pt idx="50">
                  <c:v>442.83919632721745</c:v>
                </c:pt>
                <c:pt idx="51">
                  <c:v>447.31231952244184</c:v>
                </c:pt>
                <c:pt idx="52">
                  <c:v>451.78544271766629</c:v>
                </c:pt>
                <c:pt idx="53">
                  <c:v>456.25856591289067</c:v>
                </c:pt>
                <c:pt idx="54">
                  <c:v>460.73168910811506</c:v>
                </c:pt>
                <c:pt idx="55">
                  <c:v>465.20481230333957</c:v>
                </c:pt>
                <c:pt idx="56">
                  <c:v>469.67793549856395</c:v>
                </c:pt>
                <c:pt idx="57">
                  <c:v>474.15105869378834</c:v>
                </c:pt>
                <c:pt idx="58">
                  <c:v>478.62418188901279</c:v>
                </c:pt>
                <c:pt idx="59">
                  <c:v>483.09730508423723</c:v>
                </c:pt>
                <c:pt idx="60">
                  <c:v>487.57042827946162</c:v>
                </c:pt>
                <c:pt idx="61">
                  <c:v>492.04355147468601</c:v>
                </c:pt>
                <c:pt idx="62">
                  <c:v>496.51667466991046</c:v>
                </c:pt>
                <c:pt idx="63">
                  <c:v>500.98979786513485</c:v>
                </c:pt>
                <c:pt idx="64">
                  <c:v>500.98979786513485</c:v>
                </c:pt>
                <c:pt idx="65">
                  <c:v>500.98979786513485</c:v>
                </c:pt>
                <c:pt idx="66">
                  <c:v>500.98979786513485</c:v>
                </c:pt>
                <c:pt idx="67">
                  <c:v>500.98979786513485</c:v>
                </c:pt>
                <c:pt idx="68">
                  <c:v>500.98979786513485</c:v>
                </c:pt>
                <c:pt idx="69">
                  <c:v>500.98979786513485</c:v>
                </c:pt>
                <c:pt idx="70">
                  <c:v>500.98979786513485</c:v>
                </c:pt>
                <c:pt idx="71">
                  <c:v>500.98979786513485</c:v>
                </c:pt>
                <c:pt idx="72">
                  <c:v>500.98979786513485</c:v>
                </c:pt>
                <c:pt idx="73">
                  <c:v>500.98979786513485</c:v>
                </c:pt>
                <c:pt idx="74">
                  <c:v>500.98979786513485</c:v>
                </c:pt>
                <c:pt idx="75">
                  <c:v>500.98979786513485</c:v>
                </c:pt>
                <c:pt idx="76">
                  <c:v>500.98979786513485</c:v>
                </c:pt>
                <c:pt idx="77">
                  <c:v>500.98979786513485</c:v>
                </c:pt>
                <c:pt idx="78">
                  <c:v>500.98979786513485</c:v>
                </c:pt>
                <c:pt idx="79">
                  <c:v>500.98979786513485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1-46EC-91FA-3B8E58234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5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'J24-dyn-G1'!$P$9:$P$88</c:f>
              <c:numCache>
                <c:formatCode>0.00</c:formatCode>
                <c:ptCount val="80"/>
                <c:pt idx="0">
                  <c:v>11.182807988061047</c:v>
                </c:pt>
                <c:pt idx="1">
                  <c:v>11.022265348559799</c:v>
                </c:pt>
                <c:pt idx="2">
                  <c:v>11.047945670017809</c:v>
                </c:pt>
                <c:pt idx="3">
                  <c:v>10.975303509976282</c:v>
                </c:pt>
                <c:pt idx="4">
                  <c:v>10.940953961862157</c:v>
                </c:pt>
                <c:pt idx="5">
                  <c:v>11.064331478655101</c:v>
                </c:pt>
                <c:pt idx="6">
                  <c:v>10.891041256335013</c:v>
                </c:pt>
                <c:pt idx="7">
                  <c:v>10.971304864817331</c:v>
                </c:pt>
                <c:pt idx="8">
                  <c:v>10.936322093740841</c:v>
                </c:pt>
                <c:pt idx="9">
                  <c:v>11.013366750773388</c:v>
                </c:pt>
                <c:pt idx="10">
                  <c:v>11.029918092569821</c:v>
                </c:pt>
                <c:pt idx="11">
                  <c:v>10.903338834448954</c:v>
                </c:pt>
                <c:pt idx="12">
                  <c:v>11.023391449595081</c:v>
                </c:pt>
                <c:pt idx="13">
                  <c:v>10.97322596847517</c:v>
                </c:pt>
                <c:pt idx="14">
                  <c:v>10.974150510154502</c:v>
                </c:pt>
                <c:pt idx="15">
                  <c:v>10.927739832037858</c:v>
                </c:pt>
                <c:pt idx="16">
                  <c:v>11.062057449422474</c:v>
                </c:pt>
                <c:pt idx="17">
                  <c:v>10.98904637624786</c:v>
                </c:pt>
                <c:pt idx="18">
                  <c:v>10.975204759789859</c:v>
                </c:pt>
                <c:pt idx="19">
                  <c:v>11.081994770769652</c:v>
                </c:pt>
                <c:pt idx="20">
                  <c:v>10.926033587166771</c:v>
                </c:pt>
                <c:pt idx="21">
                  <c:v>11.103692928708638</c:v>
                </c:pt>
                <c:pt idx="22">
                  <c:v>11.023970736282369</c:v>
                </c:pt>
                <c:pt idx="23">
                  <c:v>10.987650788331408</c:v>
                </c:pt>
                <c:pt idx="24">
                  <c:v>11.043853900996758</c:v>
                </c:pt>
                <c:pt idx="25">
                  <c:v>11.074341989219135</c:v>
                </c:pt>
                <c:pt idx="26">
                  <c:v>11.070960843012084</c:v>
                </c:pt>
                <c:pt idx="27">
                  <c:v>10.967738894998481</c:v>
                </c:pt>
                <c:pt idx="28">
                  <c:v>11.140189475000566</c:v>
                </c:pt>
                <c:pt idx="29">
                  <c:v>10.986106285771633</c:v>
                </c:pt>
                <c:pt idx="30">
                  <c:v>11.076389590082332</c:v>
                </c:pt>
                <c:pt idx="31">
                  <c:v>10.989216120651209</c:v>
                </c:pt>
                <c:pt idx="32">
                  <c:v>10.718581896750964</c:v>
                </c:pt>
                <c:pt idx="33">
                  <c:v>10.475157083459562</c:v>
                </c:pt>
                <c:pt idx="34">
                  <c:v>10.39159947325345</c:v>
                </c:pt>
                <c:pt idx="35">
                  <c:v>10.167773433459526</c:v>
                </c:pt>
                <c:pt idx="36">
                  <c:v>10.043686730393476</c:v>
                </c:pt>
                <c:pt idx="37">
                  <c:v>9.8205677344929594</c:v>
                </c:pt>
                <c:pt idx="38">
                  <c:v>9.7292380699754943</c:v>
                </c:pt>
                <c:pt idx="39">
                  <c:v>9.5287820143985904</c:v>
                </c:pt>
                <c:pt idx="40">
                  <c:v>9.4137642634616103</c:v>
                </c:pt>
                <c:pt idx="41">
                  <c:v>9.3306818869740162</c:v>
                </c:pt>
                <c:pt idx="42">
                  <c:v>9.2195386900947458</c:v>
                </c:pt>
                <c:pt idx="43">
                  <c:v>8.9942377414242713</c:v>
                </c:pt>
                <c:pt idx="44">
                  <c:v>8.950231748381416</c:v>
                </c:pt>
                <c:pt idx="45">
                  <c:v>8.8890611884123629</c:v>
                </c:pt>
                <c:pt idx="46">
                  <c:v>8.7929358149355075</c:v>
                </c:pt>
                <c:pt idx="47">
                  <c:v>8.6656197176417979</c:v>
                </c:pt>
                <c:pt idx="48">
                  <c:v>8.4846896793408249</c:v>
                </c:pt>
                <c:pt idx="49">
                  <c:v>8.2144767939622891</c:v>
                </c:pt>
                <c:pt idx="50">
                  <c:v>7.9374233816783759</c:v>
                </c:pt>
                <c:pt idx="51">
                  <c:v>8.2276594070192228</c:v>
                </c:pt>
                <c:pt idx="52">
                  <c:v>7.7623488239026566</c:v>
                </c:pt>
                <c:pt idx="53">
                  <c:v>7.9235541694407363</c:v>
                </c:pt>
                <c:pt idx="54">
                  <c:v>7.5131864381895328</c:v>
                </c:pt>
                <c:pt idx="55">
                  <c:v>7.6414074662445834</c:v>
                </c:pt>
                <c:pt idx="56">
                  <c:v>7.6544153095766125</c:v>
                </c:pt>
                <c:pt idx="57">
                  <c:v>7.5392186063761404</c:v>
                </c:pt>
                <c:pt idx="58">
                  <c:v>7.4688247928885003</c:v>
                </c:pt>
                <c:pt idx="59">
                  <c:v>7.2138562393621477</c:v>
                </c:pt>
                <c:pt idx="60">
                  <c:v>7.4307199648308231</c:v>
                </c:pt>
                <c:pt idx="61">
                  <c:v>7.4194131597125246</c:v>
                </c:pt>
                <c:pt idx="62">
                  <c:v>7.3029327171183231</c:v>
                </c:pt>
                <c:pt idx="63">
                  <c:v>7.1620754300458209</c:v>
                </c:pt>
                <c:pt idx="64">
                  <c:v>7.2610909676490101</c:v>
                </c:pt>
                <c:pt idx="65">
                  <c:v>6.9154031397977125</c:v>
                </c:pt>
                <c:pt idx="66">
                  <c:v>7.0445942307067746</c:v>
                </c:pt>
                <c:pt idx="67">
                  <c:v>6.6291309152525173</c:v>
                </c:pt>
                <c:pt idx="68">
                  <c:v>6.6396163201735465</c:v>
                </c:pt>
                <c:pt idx="69">
                  <c:v>6.7763929284803002</c:v>
                </c:pt>
                <c:pt idx="70">
                  <c:v>6.5612022326348196</c:v>
                </c:pt>
                <c:pt idx="71">
                  <c:v>6.3649698786445832</c:v>
                </c:pt>
                <c:pt idx="72">
                  <c:v>6.3929648209183316</c:v>
                </c:pt>
                <c:pt idx="73">
                  <c:v>6.1521279172706791</c:v>
                </c:pt>
                <c:pt idx="74">
                  <c:v>6.2650075753053063</c:v>
                </c:pt>
                <c:pt idx="75">
                  <c:v>6.1641476644381443</c:v>
                </c:pt>
                <c:pt idx="76">
                  <c:v>6.0864665663740958</c:v>
                </c:pt>
                <c:pt idx="77">
                  <c:v>5.9999509405133402</c:v>
                </c:pt>
                <c:pt idx="78">
                  <c:v>5.8823523685504471</c:v>
                </c:pt>
                <c:pt idx="79">
                  <c:v>5.7936358291896122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C-4192-812B-A661A3B8C241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'J24-dyn-G1'!$R$9:$R$88</c:f>
              <c:numCache>
                <c:formatCode>0.00</c:formatCode>
                <c:ptCount val="80"/>
                <c:pt idx="0">
                  <c:v>11.182807988061047</c:v>
                </c:pt>
                <c:pt idx="1">
                  <c:v>11.182807988061047</c:v>
                </c:pt>
                <c:pt idx="2">
                  <c:v>11.182807988061047</c:v>
                </c:pt>
                <c:pt idx="3">
                  <c:v>11.182807988061047</c:v>
                </c:pt>
                <c:pt idx="4">
                  <c:v>11.182807988061047</c:v>
                </c:pt>
                <c:pt idx="5">
                  <c:v>11.182807988061047</c:v>
                </c:pt>
                <c:pt idx="6">
                  <c:v>11.182807988061047</c:v>
                </c:pt>
                <c:pt idx="7">
                  <c:v>11.182807988061047</c:v>
                </c:pt>
                <c:pt idx="8">
                  <c:v>11.182807988061047</c:v>
                </c:pt>
                <c:pt idx="9">
                  <c:v>11.182807988061047</c:v>
                </c:pt>
                <c:pt idx="10">
                  <c:v>11.182807988061047</c:v>
                </c:pt>
                <c:pt idx="11">
                  <c:v>11.182807988061047</c:v>
                </c:pt>
                <c:pt idx="12">
                  <c:v>11.182807988061045</c:v>
                </c:pt>
                <c:pt idx="13">
                  <c:v>11.182807988061047</c:v>
                </c:pt>
                <c:pt idx="14">
                  <c:v>11.182807988061047</c:v>
                </c:pt>
                <c:pt idx="15">
                  <c:v>11.182807988061047</c:v>
                </c:pt>
                <c:pt idx="16">
                  <c:v>11.182807988061047</c:v>
                </c:pt>
                <c:pt idx="17">
                  <c:v>11.182807988061047</c:v>
                </c:pt>
                <c:pt idx="18">
                  <c:v>11.182807988061047</c:v>
                </c:pt>
                <c:pt idx="19">
                  <c:v>11.182807988061047</c:v>
                </c:pt>
                <c:pt idx="20">
                  <c:v>11.182807988061047</c:v>
                </c:pt>
                <c:pt idx="21">
                  <c:v>11.182807988061047</c:v>
                </c:pt>
                <c:pt idx="22">
                  <c:v>11.182807988061047</c:v>
                </c:pt>
                <c:pt idx="23">
                  <c:v>11.182807988061047</c:v>
                </c:pt>
                <c:pt idx="24">
                  <c:v>11.182807988061047</c:v>
                </c:pt>
                <c:pt idx="25">
                  <c:v>11.182807988061045</c:v>
                </c:pt>
                <c:pt idx="26">
                  <c:v>11.182807988061047</c:v>
                </c:pt>
                <c:pt idx="27">
                  <c:v>11.182807988061047</c:v>
                </c:pt>
                <c:pt idx="28">
                  <c:v>11.182807988061047</c:v>
                </c:pt>
                <c:pt idx="29">
                  <c:v>11.182807988061047</c:v>
                </c:pt>
                <c:pt idx="30">
                  <c:v>11.182807988061047</c:v>
                </c:pt>
                <c:pt idx="31">
                  <c:v>11.182807988061047</c:v>
                </c:pt>
                <c:pt idx="32">
                  <c:v>10.979484206459937</c:v>
                </c:pt>
                <c:pt idx="33">
                  <c:v>10.78812064730595</c:v>
                </c:pt>
                <c:pt idx="34">
                  <c:v>10.607692148675051</c:v>
                </c:pt>
                <c:pt idx="35">
                  <c:v>10.437287455523643</c:v>
                </c:pt>
                <c:pt idx="36">
                  <c:v>10.276093826866907</c:v>
                </c:pt>
                <c:pt idx="37">
                  <c:v>10.123384073402629</c:v>
                </c:pt>
                <c:pt idx="38">
                  <c:v>9.9785055893467796</c:v>
                </c:pt>
                <c:pt idx="39">
                  <c:v>9.8408710294937212</c:v>
                </c:pt>
                <c:pt idx="40">
                  <c:v>9.7099503506091036</c:v>
                </c:pt>
                <c:pt idx="41">
                  <c:v>9.585263989766613</c:v>
                </c:pt>
                <c:pt idx="42">
                  <c:v>9.4663769945446994</c:v>
                </c:pt>
                <c:pt idx="43">
                  <c:v>9.3528939536510567</c:v>
                </c:pt>
                <c:pt idx="44">
                  <c:v>9.2444546034637991</c:v>
                </c:pt>
                <c:pt idx="45">
                  <c:v>9.1407300076325075</c:v>
                </c:pt>
                <c:pt idx="46">
                  <c:v>9.0414192243897826</c:v>
                </c:pt>
                <c:pt idx="47">
                  <c:v>8.9462463904488363</c:v>
                </c:pt>
                <c:pt idx="48">
                  <c:v>8.854958161974869</c:v>
                </c:pt>
                <c:pt idx="49">
                  <c:v>8.7673214626398615</c:v>
                </c:pt>
                <c:pt idx="50">
                  <c:v>8.6831214966121077</c:v>
                </c:pt>
                <c:pt idx="51">
                  <c:v>8.6021599908161885</c:v>
                </c:pt>
                <c:pt idx="52">
                  <c:v>8.5242536361823831</c:v>
                </c:pt>
                <c:pt idx="53">
                  <c:v>8.4492327020905691</c:v>
                </c:pt>
                <c:pt idx="54">
                  <c:v>8.3769398019657277</c:v>
                </c:pt>
                <c:pt idx="55">
                  <c:v>8.3072287911310632</c:v>
                </c:pt>
                <c:pt idx="56">
                  <c:v>8.2399637806765611</c:v>
                </c:pt>
                <c:pt idx="57">
                  <c:v>8.1750182533411788</c:v>
                </c:pt>
                <c:pt idx="58">
                  <c:v>8.1122742693053027</c:v>
                </c:pt>
                <c:pt idx="59">
                  <c:v>8.0516217514039532</c:v>
                </c:pt>
                <c:pt idx="60">
                  <c:v>7.9929578406469117</c:v>
                </c:pt>
                <c:pt idx="61">
                  <c:v>7.9361863141078386</c:v>
                </c:pt>
                <c:pt idx="62">
                  <c:v>7.8812170582525471</c:v>
                </c:pt>
                <c:pt idx="63">
                  <c:v>7.827965591642732</c:v>
                </c:pt>
                <c:pt idx="64">
                  <c:v>7.7075353517713054</c:v>
                </c:pt>
                <c:pt idx="65">
                  <c:v>7.5907545131081031</c:v>
                </c:pt>
                <c:pt idx="66">
                  <c:v>7.4774596696288782</c:v>
                </c:pt>
                <c:pt idx="67">
                  <c:v>7.3674970274284535</c:v>
                </c:pt>
                <c:pt idx="68">
                  <c:v>7.2607217081903599</c:v>
                </c:pt>
                <c:pt idx="69">
                  <c:v>7.1569971123590692</c:v>
                </c:pt>
                <c:pt idx="70">
                  <c:v>7.0561943361286596</c:v>
                </c:pt>
                <c:pt idx="71">
                  <c:v>6.9581916370157622</c:v>
                </c:pt>
                <c:pt idx="72">
                  <c:v>6.8628739433580117</c:v>
                </c:pt>
                <c:pt idx="73">
                  <c:v>6.7701324035829034</c:v>
                </c:pt>
                <c:pt idx="74">
                  <c:v>6.6798639715351316</c:v>
                </c:pt>
                <c:pt idx="75">
                  <c:v>6.5919710245412473</c:v>
                </c:pt>
                <c:pt idx="76">
                  <c:v>6.5063610112355175</c:v>
                </c:pt>
                <c:pt idx="77">
                  <c:v>6.4229461264760879</c:v>
                </c:pt>
                <c:pt idx="78">
                  <c:v>6.3416430109510742</c:v>
                </c:pt>
                <c:pt idx="79">
                  <c:v>6.2623724733141852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C-4192-812B-A661A3B8C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'J24-dyn-eps'!$O$9:$O$88</c:f>
              <c:numCache>
                <c:formatCode>0.00</c:formatCode>
                <c:ptCount val="80"/>
                <c:pt idx="0">
                  <c:v>11.045003274642021</c:v>
                </c:pt>
                <c:pt idx="1">
                  <c:v>22.757646183722187</c:v>
                </c:pt>
                <c:pt idx="2">
                  <c:v>34.059494680612694</c:v>
                </c:pt>
                <c:pt idx="3">
                  <c:v>45.134046849988543</c:v>
                </c:pt>
                <c:pt idx="4">
                  <c:v>56.834869431894013</c:v>
                </c:pt>
                <c:pt idx="5">
                  <c:v>68.25938566552901</c:v>
                </c:pt>
                <c:pt idx="6">
                  <c:v>78.060238831016719</c:v>
                </c:pt>
                <c:pt idx="7">
                  <c:v>90.506813732035994</c:v>
                </c:pt>
                <c:pt idx="8">
                  <c:v>102.00264561233182</c:v>
                </c:pt>
                <c:pt idx="9">
                  <c:v>112.8072610516702</c:v>
                </c:pt>
                <c:pt idx="10">
                  <c:v>123.94028579049639</c:v>
                </c:pt>
                <c:pt idx="11">
                  <c:v>135.31700743617549</c:v>
                </c:pt>
                <c:pt idx="12">
                  <c:v>143.24450845222259</c:v>
                </c:pt>
                <c:pt idx="13">
                  <c:v>157.83633778075648</c:v>
                </c:pt>
                <c:pt idx="14">
                  <c:v>167.61330019893111</c:v>
                </c:pt>
                <c:pt idx="15">
                  <c:v>180.69469647427479</c:v>
                </c:pt>
                <c:pt idx="16">
                  <c:v>190.72928630876382</c:v>
                </c:pt>
                <c:pt idx="17">
                  <c:v>203.89378706560419</c:v>
                </c:pt>
                <c:pt idx="18">
                  <c:v>212.25627110437927</c:v>
                </c:pt>
                <c:pt idx="19">
                  <c:v>225.57007863765563</c:v>
                </c:pt>
                <c:pt idx="20">
                  <c:v>237.42967858250103</c:v>
                </c:pt>
                <c:pt idx="21">
                  <c:v>245.67316615917719</c:v>
                </c:pt>
                <c:pt idx="22">
                  <c:v>258.28386882593736</c:v>
                </c:pt>
                <c:pt idx="23">
                  <c:v>270.96714320331461</c:v>
                </c:pt>
                <c:pt idx="24">
                  <c:v>282.9194101481084</c:v>
                </c:pt>
                <c:pt idx="25">
                  <c:v>295.13808813656613</c:v>
                </c:pt>
                <c:pt idx="26">
                  <c:v>303.43716866033174</c:v>
                </c:pt>
                <c:pt idx="27">
                  <c:v>314.0266346833705</c:v>
                </c:pt>
                <c:pt idx="28">
                  <c:v>329.68561968701243</c:v>
                </c:pt>
                <c:pt idx="29">
                  <c:v>337.84040846187742</c:v>
                </c:pt>
                <c:pt idx="30">
                  <c:v>346.86145933586971</c:v>
                </c:pt>
                <c:pt idx="31">
                  <c:v>354.57375948404189</c:v>
                </c:pt>
                <c:pt idx="32">
                  <c:v>361.38388170068646</c:v>
                </c:pt>
                <c:pt idx="33">
                  <c:v>366.67405099461081</c:v>
                </c:pt>
                <c:pt idx="34">
                  <c:v>369.42060667398522</c:v>
                </c:pt>
                <c:pt idx="35">
                  <c:v>375.64706334373187</c:v>
                </c:pt>
                <c:pt idx="36">
                  <c:v>376.09596950701865</c:v>
                </c:pt>
                <c:pt idx="37">
                  <c:v>381.46364050211906</c:v>
                </c:pt>
                <c:pt idx="38">
                  <c:v>388.66544526223993</c:v>
                </c:pt>
                <c:pt idx="39">
                  <c:v>388.93511874156547</c:v>
                </c:pt>
                <c:pt idx="40">
                  <c:v>393.66664657067417</c:v>
                </c:pt>
                <c:pt idx="41">
                  <c:v>396.72746352310924</c:v>
                </c:pt>
                <c:pt idx="42">
                  <c:v>403.04253763786062</c:v>
                </c:pt>
                <c:pt idx="43">
                  <c:v>401.46213912052872</c:v>
                </c:pt>
                <c:pt idx="44">
                  <c:v>413.92990875141459</c:v>
                </c:pt>
                <c:pt idx="45">
                  <c:v>412.5107123237255</c:v>
                </c:pt>
                <c:pt idx="46">
                  <c:v>415.84107909120098</c:v>
                </c:pt>
                <c:pt idx="47">
                  <c:v>421.46592473482673</c:v>
                </c:pt>
                <c:pt idx="48">
                  <c:v>421.39518405192297</c:v>
                </c:pt>
                <c:pt idx="49">
                  <c:v>429.73235145315749</c:v>
                </c:pt>
                <c:pt idx="50">
                  <c:v>434.62422746151225</c:v>
                </c:pt>
                <c:pt idx="51">
                  <c:v>440.80947150357275</c:v>
                </c:pt>
                <c:pt idx="52">
                  <c:v>447.85629918706616</c:v>
                </c:pt>
                <c:pt idx="53">
                  <c:v>457.44289110898541</c:v>
                </c:pt>
                <c:pt idx="54">
                  <c:v>430.19784192632625</c:v>
                </c:pt>
                <c:pt idx="55">
                  <c:v>462.34556600296537</c:v>
                </c:pt>
                <c:pt idx="56">
                  <c:v>463.80278671291688</c:v>
                </c:pt>
                <c:pt idx="57">
                  <c:v>465.64472163708848</c:v>
                </c:pt>
                <c:pt idx="58">
                  <c:v>467.89152867827102</c:v>
                </c:pt>
                <c:pt idx="59">
                  <c:v>469.61152740721184</c:v>
                </c:pt>
                <c:pt idx="60">
                  <c:v>475.16184511797161</c:v>
                </c:pt>
                <c:pt idx="61">
                  <c:v>483.49678284618551</c:v>
                </c:pt>
                <c:pt idx="62">
                  <c:v>480.32878981721859</c:v>
                </c:pt>
                <c:pt idx="63">
                  <c:v>493.42661874828627</c:v>
                </c:pt>
                <c:pt idx="64">
                  <c:v>490.00689537897495</c:v>
                </c:pt>
                <c:pt idx="65">
                  <c:v>486.52595410755544</c:v>
                </c:pt>
                <c:pt idx="66">
                  <c:v>485.85473191647412</c:v>
                </c:pt>
                <c:pt idx="67">
                  <c:v>483.55411202140283</c:v>
                </c:pt>
                <c:pt idx="68">
                  <c:v>488.83092189058152</c:v>
                </c:pt>
                <c:pt idx="69">
                  <c:v>488.14482024282495</c:v>
                </c:pt>
                <c:pt idx="70">
                  <c:v>480.13940462162418</c:v>
                </c:pt>
                <c:pt idx="71">
                  <c:v>481.80531420845222</c:v>
                </c:pt>
                <c:pt idx="72">
                  <c:v>490.25967586259935</c:v>
                </c:pt>
                <c:pt idx="73">
                  <c:v>455.95564948434878</c:v>
                </c:pt>
                <c:pt idx="74">
                  <c:v>489.21153817246005</c:v>
                </c:pt>
                <c:pt idx="75">
                  <c:v>482.44461148198985</c:v>
                </c:pt>
                <c:pt idx="76">
                  <c:v>487.08889060496966</c:v>
                </c:pt>
                <c:pt idx="77">
                  <c:v>487.62278438581018</c:v>
                </c:pt>
                <c:pt idx="78">
                  <c:v>488.38564419332812</c:v>
                </c:pt>
                <c:pt idx="79">
                  <c:v>487.36248259515492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2-4ECE-9D33-84C7F787F0DF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'J24-dyn-eps'!$Q$9:$Q$88</c:f>
              <c:numCache>
                <c:formatCode>0.00</c:formatCode>
                <c:ptCount val="80"/>
                <c:pt idx="0">
                  <c:v>11.045003274642021</c:v>
                </c:pt>
                <c:pt idx="1">
                  <c:v>22.090006549284041</c:v>
                </c:pt>
                <c:pt idx="2">
                  <c:v>33.135009823926062</c:v>
                </c:pt>
                <c:pt idx="3">
                  <c:v>44.180013098568082</c:v>
                </c:pt>
                <c:pt idx="4">
                  <c:v>55.225016373210103</c:v>
                </c:pt>
                <c:pt idx="5">
                  <c:v>66.270019647852124</c:v>
                </c:pt>
                <c:pt idx="6">
                  <c:v>77.315022922494137</c:v>
                </c:pt>
                <c:pt idx="7">
                  <c:v>88.360026197136165</c:v>
                </c:pt>
                <c:pt idx="8">
                  <c:v>99.405029471778178</c:v>
                </c:pt>
                <c:pt idx="9">
                  <c:v>110.45003274642021</c:v>
                </c:pt>
                <c:pt idx="10">
                  <c:v>121.49503602106222</c:v>
                </c:pt>
                <c:pt idx="11">
                  <c:v>132.54003929570425</c:v>
                </c:pt>
                <c:pt idx="12">
                  <c:v>143.58504257034627</c:v>
                </c:pt>
                <c:pt idx="13">
                  <c:v>154.63004584498827</c:v>
                </c:pt>
                <c:pt idx="14">
                  <c:v>165.6750491196303</c:v>
                </c:pt>
                <c:pt idx="15">
                  <c:v>176.72005239427233</c:v>
                </c:pt>
                <c:pt idx="16">
                  <c:v>187.76505566891436</c:v>
                </c:pt>
                <c:pt idx="17">
                  <c:v>198.81005894355636</c:v>
                </c:pt>
                <c:pt idx="18">
                  <c:v>209.85506221819838</c:v>
                </c:pt>
                <c:pt idx="19">
                  <c:v>220.90006549284041</c:v>
                </c:pt>
                <c:pt idx="20">
                  <c:v>231.94506876748244</c:v>
                </c:pt>
                <c:pt idx="21">
                  <c:v>242.99007204212444</c:v>
                </c:pt>
                <c:pt idx="22">
                  <c:v>254.03507531676647</c:v>
                </c:pt>
                <c:pt idx="23">
                  <c:v>265.08007859140849</c:v>
                </c:pt>
                <c:pt idx="24">
                  <c:v>276.12508186605049</c:v>
                </c:pt>
                <c:pt idx="25">
                  <c:v>287.17008514069255</c:v>
                </c:pt>
                <c:pt idx="26">
                  <c:v>298.21508841533461</c:v>
                </c:pt>
                <c:pt idx="27">
                  <c:v>309.26009168997655</c:v>
                </c:pt>
                <c:pt idx="28">
                  <c:v>320.30509496461855</c:v>
                </c:pt>
                <c:pt idx="29">
                  <c:v>331.3500982392606</c:v>
                </c:pt>
                <c:pt idx="30">
                  <c:v>342.39510151390266</c:v>
                </c:pt>
                <c:pt idx="31">
                  <c:v>353.44010478854466</c:v>
                </c:pt>
                <c:pt idx="32">
                  <c:v>357.85810609840149</c:v>
                </c:pt>
                <c:pt idx="33">
                  <c:v>362.27610740825827</c:v>
                </c:pt>
                <c:pt idx="34">
                  <c:v>366.6941087181151</c:v>
                </c:pt>
                <c:pt idx="35">
                  <c:v>371.11211002797188</c:v>
                </c:pt>
                <c:pt idx="36">
                  <c:v>375.53011133782871</c:v>
                </c:pt>
                <c:pt idx="37">
                  <c:v>379.94811264768555</c:v>
                </c:pt>
                <c:pt idx="38">
                  <c:v>384.36611395754232</c:v>
                </c:pt>
                <c:pt idx="39">
                  <c:v>388.78411526739916</c:v>
                </c:pt>
                <c:pt idx="40">
                  <c:v>393.20211657725588</c:v>
                </c:pt>
                <c:pt idx="41">
                  <c:v>397.62011788711271</c:v>
                </c:pt>
                <c:pt idx="42">
                  <c:v>402.03811919696955</c:v>
                </c:pt>
                <c:pt idx="43">
                  <c:v>406.45612050682632</c:v>
                </c:pt>
                <c:pt idx="44">
                  <c:v>410.87412181668316</c:v>
                </c:pt>
                <c:pt idx="45">
                  <c:v>415.29212312653993</c:v>
                </c:pt>
                <c:pt idx="46">
                  <c:v>419.71012443639677</c:v>
                </c:pt>
                <c:pt idx="47">
                  <c:v>424.1281257462536</c:v>
                </c:pt>
                <c:pt idx="48">
                  <c:v>428.54612705611038</c:v>
                </c:pt>
                <c:pt idx="49">
                  <c:v>432.96412836596721</c:v>
                </c:pt>
                <c:pt idx="50">
                  <c:v>437.38212967582405</c:v>
                </c:pt>
                <c:pt idx="51">
                  <c:v>441.80013098568082</c:v>
                </c:pt>
                <c:pt idx="52">
                  <c:v>446.21813229553766</c:v>
                </c:pt>
                <c:pt idx="53">
                  <c:v>450.63613360539443</c:v>
                </c:pt>
                <c:pt idx="54">
                  <c:v>455.05413491525127</c:v>
                </c:pt>
                <c:pt idx="55">
                  <c:v>459.47213622510804</c:v>
                </c:pt>
                <c:pt idx="56">
                  <c:v>463.89013753496488</c:v>
                </c:pt>
                <c:pt idx="57">
                  <c:v>468.30813884482171</c:v>
                </c:pt>
                <c:pt idx="58">
                  <c:v>472.72614015467849</c:v>
                </c:pt>
                <c:pt idx="59">
                  <c:v>477.14414146453532</c:v>
                </c:pt>
                <c:pt idx="60">
                  <c:v>481.56214277439204</c:v>
                </c:pt>
                <c:pt idx="61">
                  <c:v>485.98014408424888</c:v>
                </c:pt>
                <c:pt idx="62">
                  <c:v>490.39814539410571</c:v>
                </c:pt>
                <c:pt idx="63">
                  <c:v>494.81614670396254</c:v>
                </c:pt>
                <c:pt idx="64">
                  <c:v>494.81614670396254</c:v>
                </c:pt>
                <c:pt idx="65">
                  <c:v>494.81614670396254</c:v>
                </c:pt>
                <c:pt idx="66">
                  <c:v>494.81614670396254</c:v>
                </c:pt>
                <c:pt idx="67">
                  <c:v>494.81614670396254</c:v>
                </c:pt>
                <c:pt idx="68">
                  <c:v>494.81614670396254</c:v>
                </c:pt>
                <c:pt idx="69">
                  <c:v>494.81614670396254</c:v>
                </c:pt>
                <c:pt idx="70">
                  <c:v>494.81614670396254</c:v>
                </c:pt>
                <c:pt idx="71">
                  <c:v>494.81614670396254</c:v>
                </c:pt>
                <c:pt idx="72">
                  <c:v>494.81614670396254</c:v>
                </c:pt>
                <c:pt idx="73">
                  <c:v>494.81614670396254</c:v>
                </c:pt>
                <c:pt idx="74">
                  <c:v>494.81614670396254</c:v>
                </c:pt>
                <c:pt idx="75">
                  <c:v>494.81614670396254</c:v>
                </c:pt>
                <c:pt idx="76">
                  <c:v>494.81614670396254</c:v>
                </c:pt>
                <c:pt idx="77">
                  <c:v>494.81614670396254</c:v>
                </c:pt>
                <c:pt idx="78">
                  <c:v>494.81614670396254</c:v>
                </c:pt>
                <c:pt idx="79">
                  <c:v>494.81614670396254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2-4ECE-9D33-84C7F787F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5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'J24-dyn-eps'!$P$9:$P$88</c:f>
              <c:numCache>
                <c:formatCode>0.00</c:formatCode>
                <c:ptCount val="80"/>
                <c:pt idx="0">
                  <c:v>11.045003274642021</c:v>
                </c:pt>
                <c:pt idx="1">
                  <c:v>11.378823091861094</c:v>
                </c:pt>
                <c:pt idx="2">
                  <c:v>11.353164893537564</c:v>
                </c:pt>
                <c:pt idx="3">
                  <c:v>11.283511712497136</c:v>
                </c:pt>
                <c:pt idx="4">
                  <c:v>11.366973886378803</c:v>
                </c:pt>
                <c:pt idx="5">
                  <c:v>11.376564277588168</c:v>
                </c:pt>
                <c:pt idx="6">
                  <c:v>11.151462690145246</c:v>
                </c:pt>
                <c:pt idx="7">
                  <c:v>11.313351716504499</c:v>
                </c:pt>
                <c:pt idx="8">
                  <c:v>11.333627290259093</c:v>
                </c:pt>
                <c:pt idx="9">
                  <c:v>11.280726105167018</c:v>
                </c:pt>
                <c:pt idx="10">
                  <c:v>11.267298708226944</c:v>
                </c:pt>
                <c:pt idx="11">
                  <c:v>11.276417286347957</c:v>
                </c:pt>
                <c:pt idx="12">
                  <c:v>11.01880834247866</c:v>
                </c:pt>
                <c:pt idx="13">
                  <c:v>11.274024127196894</c:v>
                </c:pt>
                <c:pt idx="14">
                  <c:v>11.174220013262072</c:v>
                </c:pt>
                <c:pt idx="15">
                  <c:v>11.293418529642175</c:v>
                </c:pt>
                <c:pt idx="16">
                  <c:v>11.21936978286846</c:v>
                </c:pt>
                <c:pt idx="17">
                  <c:v>11.327432614755786</c:v>
                </c:pt>
                <c:pt idx="18">
                  <c:v>11.171382689704172</c:v>
                </c:pt>
                <c:pt idx="19">
                  <c:v>11.278503931882781</c:v>
                </c:pt>
                <c:pt idx="20">
                  <c:v>11.306175170595289</c:v>
                </c:pt>
                <c:pt idx="21">
                  <c:v>11.166962098144417</c:v>
                </c:pt>
                <c:pt idx="22">
                  <c:v>11.229733427214667</c:v>
                </c:pt>
                <c:pt idx="23">
                  <c:v>11.290297633471438</c:v>
                </c:pt>
                <c:pt idx="24">
                  <c:v>11.316776405924337</c:v>
                </c:pt>
                <c:pt idx="25">
                  <c:v>11.351464928329461</c:v>
                </c:pt>
                <c:pt idx="26">
                  <c:v>11.238413654086362</c:v>
                </c:pt>
                <c:pt idx="27">
                  <c:v>11.215236952977518</c:v>
                </c:pt>
                <c:pt idx="28">
                  <c:v>11.36846964437974</c:v>
                </c:pt>
                <c:pt idx="29">
                  <c:v>11.261346948729244</c:v>
                </c:pt>
                <c:pt idx="30">
                  <c:v>11.189079333415153</c:v>
                </c:pt>
                <c:pt idx="31">
                  <c:v>11.080429983876309</c:v>
                </c:pt>
                <c:pt idx="32">
                  <c:v>10.95102671820262</c:v>
                </c:pt>
                <c:pt idx="33">
                  <c:v>10.784530911606202</c:v>
                </c:pt>
                <c:pt idx="34">
                  <c:v>10.554874476399577</c:v>
                </c:pt>
                <c:pt idx="35">
                  <c:v>10.434640648436995</c:v>
                </c:pt>
                <c:pt idx="36">
                  <c:v>10.164755932622127</c:v>
                </c:pt>
                <c:pt idx="37">
                  <c:v>10.038516855318925</c:v>
                </c:pt>
                <c:pt idx="38">
                  <c:v>9.9657806477497424</c:v>
                </c:pt>
                <c:pt idx="39">
                  <c:v>9.7233779685391362</c:v>
                </c:pt>
                <c:pt idx="40">
                  <c:v>9.6016255261140042</c:v>
                </c:pt>
                <c:pt idx="41">
                  <c:v>9.4458919886454584</c:v>
                </c:pt>
                <c:pt idx="42">
                  <c:v>9.373082270647922</c:v>
                </c:pt>
                <c:pt idx="43">
                  <c:v>9.1241395254665605</c:v>
                </c:pt>
                <c:pt idx="44">
                  <c:v>9.1984424166981018</c:v>
                </c:pt>
                <c:pt idx="45">
                  <c:v>8.9676241809505548</c:v>
                </c:pt>
                <c:pt idx="46">
                  <c:v>8.8476825338553393</c:v>
                </c:pt>
                <c:pt idx="47">
                  <c:v>8.7805400986422217</c:v>
                </c:pt>
                <c:pt idx="48">
                  <c:v>8.5999017153453661</c:v>
                </c:pt>
                <c:pt idx="49">
                  <c:v>8.5946470290631485</c:v>
                </c:pt>
                <c:pt idx="50">
                  <c:v>8.5220436757159277</c:v>
                </c:pt>
                <c:pt idx="51">
                  <c:v>8.4771052212225531</c:v>
                </c:pt>
                <c:pt idx="52">
                  <c:v>8.4501188525861561</c:v>
                </c:pt>
                <c:pt idx="53">
                  <c:v>8.4711646501663971</c:v>
                </c:pt>
                <c:pt idx="54">
                  <c:v>7.8217789441150245</c:v>
                </c:pt>
                <c:pt idx="55">
                  <c:v>8.2561708214815237</c:v>
                </c:pt>
                <c:pt idx="56">
                  <c:v>8.1368909949634549</c:v>
                </c:pt>
                <c:pt idx="57">
                  <c:v>8.0283572696049728</c:v>
                </c:pt>
                <c:pt idx="58">
                  <c:v>7.9303648928520492</c:v>
                </c:pt>
                <c:pt idx="59">
                  <c:v>7.8268587901201965</c:v>
                </c:pt>
                <c:pt idx="60">
                  <c:v>7.7895384445569107</c:v>
                </c:pt>
                <c:pt idx="61">
                  <c:v>7.7983352071965415</c:v>
                </c:pt>
                <c:pt idx="62">
                  <c:v>7.6242665050352167</c:v>
                </c:pt>
                <c:pt idx="63">
                  <c:v>7.709790917941973</c:v>
                </c:pt>
                <c:pt idx="64">
                  <c:v>7.5385676212149999</c:v>
                </c:pt>
                <c:pt idx="65">
                  <c:v>7.3716053652659914</c:v>
                </c:pt>
                <c:pt idx="66">
                  <c:v>7.251563162932448</c:v>
                </c:pt>
                <c:pt idx="67">
                  <c:v>7.1110898826676898</c:v>
                </c:pt>
                <c:pt idx="68">
                  <c:v>7.0845061143562544</c:v>
                </c:pt>
                <c:pt idx="69">
                  <c:v>6.9734974320403564</c:v>
                </c:pt>
                <c:pt idx="70">
                  <c:v>6.7625268256566775</c:v>
                </c:pt>
                <c:pt idx="71">
                  <c:v>6.6917404751173919</c:v>
                </c:pt>
                <c:pt idx="72">
                  <c:v>6.7158859707205396</c:v>
                </c:pt>
                <c:pt idx="73">
                  <c:v>6.1615628308695785</c:v>
                </c:pt>
                <c:pt idx="74">
                  <c:v>6.5228205089661335</c:v>
                </c:pt>
                <c:pt idx="75">
                  <c:v>6.3479554142367096</c:v>
                </c:pt>
                <c:pt idx="76">
                  <c:v>6.3258297481164893</c:v>
                </c:pt>
                <c:pt idx="77">
                  <c:v>6.2515741587924385</c:v>
                </c:pt>
                <c:pt idx="78">
                  <c:v>6.1820967619408629</c:v>
                </c:pt>
                <c:pt idx="79">
                  <c:v>6.0920310324394373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A-4BB2-8EA7-40C954EA27AC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'J24-dyn-eps'!$R$9:$R$88</c:f>
              <c:numCache>
                <c:formatCode>0.00</c:formatCode>
                <c:ptCount val="80"/>
                <c:pt idx="0">
                  <c:v>11.045003274642021</c:v>
                </c:pt>
                <c:pt idx="1">
                  <c:v>11.045003274642021</c:v>
                </c:pt>
                <c:pt idx="2">
                  <c:v>11.045003274642021</c:v>
                </c:pt>
                <c:pt idx="3">
                  <c:v>11.045003274642021</c:v>
                </c:pt>
                <c:pt idx="4">
                  <c:v>11.045003274642021</c:v>
                </c:pt>
                <c:pt idx="5">
                  <c:v>11.045003274642021</c:v>
                </c:pt>
                <c:pt idx="6">
                  <c:v>11.045003274642021</c:v>
                </c:pt>
                <c:pt idx="7">
                  <c:v>11.045003274642021</c:v>
                </c:pt>
                <c:pt idx="8">
                  <c:v>11.045003274642021</c:v>
                </c:pt>
                <c:pt idx="9">
                  <c:v>11.045003274642021</c:v>
                </c:pt>
                <c:pt idx="10">
                  <c:v>11.045003274642021</c:v>
                </c:pt>
                <c:pt idx="11">
                  <c:v>11.045003274642021</c:v>
                </c:pt>
                <c:pt idx="12">
                  <c:v>11.045003274642021</c:v>
                </c:pt>
                <c:pt idx="13">
                  <c:v>11.045003274642021</c:v>
                </c:pt>
                <c:pt idx="14">
                  <c:v>11.045003274642021</c:v>
                </c:pt>
                <c:pt idx="15">
                  <c:v>11.045003274642021</c:v>
                </c:pt>
                <c:pt idx="16">
                  <c:v>11.045003274642021</c:v>
                </c:pt>
                <c:pt idx="17">
                  <c:v>11.045003274642021</c:v>
                </c:pt>
                <c:pt idx="18">
                  <c:v>11.045003274642021</c:v>
                </c:pt>
                <c:pt idx="19">
                  <c:v>11.045003274642021</c:v>
                </c:pt>
                <c:pt idx="20">
                  <c:v>11.045003274642021</c:v>
                </c:pt>
                <c:pt idx="21">
                  <c:v>11.045003274642021</c:v>
                </c:pt>
                <c:pt idx="22">
                  <c:v>11.045003274642021</c:v>
                </c:pt>
                <c:pt idx="23">
                  <c:v>11.045003274642021</c:v>
                </c:pt>
                <c:pt idx="24">
                  <c:v>11.045003274642019</c:v>
                </c:pt>
                <c:pt idx="25">
                  <c:v>11.045003274642021</c:v>
                </c:pt>
                <c:pt idx="26">
                  <c:v>11.045003274642022</c:v>
                </c:pt>
                <c:pt idx="27">
                  <c:v>11.045003274642021</c:v>
                </c:pt>
                <c:pt idx="28">
                  <c:v>11.045003274642019</c:v>
                </c:pt>
                <c:pt idx="29">
                  <c:v>11.045003274642021</c:v>
                </c:pt>
                <c:pt idx="30">
                  <c:v>11.045003274642022</c:v>
                </c:pt>
                <c:pt idx="31">
                  <c:v>11.045003274642021</c:v>
                </c:pt>
                <c:pt idx="32">
                  <c:v>10.844185033284893</c:v>
                </c:pt>
                <c:pt idx="33">
                  <c:v>10.655179629654656</c:v>
                </c:pt>
                <c:pt idx="34">
                  <c:v>10.476974534803288</c:v>
                </c:pt>
                <c:pt idx="35">
                  <c:v>10.30866972299922</c:v>
                </c:pt>
                <c:pt idx="36">
                  <c:v>10.149462468589965</c:v>
                </c:pt>
                <c:pt idx="37">
                  <c:v>9.9986345433601453</c:v>
                </c:pt>
                <c:pt idx="38">
                  <c:v>9.8555413835267256</c:v>
                </c:pt>
                <c:pt idx="39">
                  <c:v>9.7196028816849775</c:v>
                </c:pt>
                <c:pt idx="40">
                  <c:v>9.5902955262745344</c:v>
                </c:pt>
                <c:pt idx="41">
                  <c:v>9.467145663978874</c:v>
                </c:pt>
                <c:pt idx="42">
                  <c:v>9.3497237022551047</c:v>
                </c:pt>
                <c:pt idx="43">
                  <c:v>9.2376391024278721</c:v>
                </c:pt>
                <c:pt idx="44">
                  <c:v>9.1305360403707354</c:v>
                </c:pt>
                <c:pt idx="45">
                  <c:v>9.0280896331856511</c:v>
                </c:pt>
                <c:pt idx="46">
                  <c:v>8.9300026475829117</c:v>
                </c:pt>
                <c:pt idx="47">
                  <c:v>8.8360026197136179</c:v>
                </c:pt>
                <c:pt idx="48">
                  <c:v>8.7458393276757231</c:v>
                </c:pt>
                <c:pt idx="49">
                  <c:v>8.6592825673193445</c:v>
                </c:pt>
                <c:pt idx="50">
                  <c:v>8.5761201897220403</c:v>
                </c:pt>
                <c:pt idx="51">
                  <c:v>8.4961563651092469</c:v>
                </c:pt>
                <c:pt idx="52">
                  <c:v>8.4192100433120309</c:v>
                </c:pt>
                <c:pt idx="53">
                  <c:v>8.3451135852850822</c:v>
                </c:pt>
                <c:pt idx="54">
                  <c:v>8.2737115439136595</c:v>
                </c:pt>
                <c:pt idx="55">
                  <c:v>8.2048595754483582</c:v>
                </c:pt>
                <c:pt idx="56">
                  <c:v>8.1384234655256993</c:v>
                </c:pt>
                <c:pt idx="57">
                  <c:v>8.0742782559452024</c:v>
                </c:pt>
                <c:pt idx="58">
                  <c:v>8.0123074602487883</c:v>
                </c:pt>
                <c:pt idx="59">
                  <c:v>7.9524023577422547</c:v>
                </c:pt>
                <c:pt idx="60">
                  <c:v>7.8944613569572475</c:v>
                </c:pt>
                <c:pt idx="61">
                  <c:v>7.8383894207136917</c:v>
                </c:pt>
                <c:pt idx="62">
                  <c:v>7.7840975459381863</c:v>
                </c:pt>
                <c:pt idx="63">
                  <c:v>7.7315022922494148</c:v>
                </c:pt>
                <c:pt idx="64">
                  <c:v>7.6125561031378854</c:v>
                </c:pt>
                <c:pt idx="65">
                  <c:v>7.4972143439994321</c:v>
                </c:pt>
                <c:pt idx="66">
                  <c:v>7.3853156224472025</c:v>
                </c:pt>
                <c:pt idx="67">
                  <c:v>7.2767080397641557</c:v>
                </c:pt>
                <c:pt idx="68">
                  <c:v>7.1712485029559785</c:v>
                </c:pt>
                <c:pt idx="69">
                  <c:v>7.0688020957708932</c:v>
                </c:pt>
                <c:pt idx="70">
                  <c:v>6.9692415028727117</c:v>
                </c:pt>
                <c:pt idx="71">
                  <c:v>6.8724464819994804</c:v>
                </c:pt>
                <c:pt idx="72">
                  <c:v>6.7783033795063368</c:v>
                </c:pt>
                <c:pt idx="73">
                  <c:v>6.6867046851886833</c:v>
                </c:pt>
                <c:pt idx="74">
                  <c:v>6.5975486227195015</c:v>
                </c:pt>
                <c:pt idx="75">
                  <c:v>6.5107387724205603</c:v>
                </c:pt>
                <c:pt idx="76">
                  <c:v>6.4261837234280854</c:v>
                </c:pt>
                <c:pt idx="77">
                  <c:v>6.3437967526149048</c:v>
                </c:pt>
                <c:pt idx="78">
                  <c:v>6.26349552789826</c:v>
                </c:pt>
                <c:pt idx="79">
                  <c:v>6.1852018337995318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A-4BB2-8EA7-40C954EA2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'J25-NUC-fix-G1'!$O$9:$O$28</c:f>
              <c:numCache>
                <c:formatCode>0.00</c:formatCode>
                <c:ptCount val="20"/>
                <c:pt idx="0">
                  <c:v>15.201450055641628</c:v>
                </c:pt>
                <c:pt idx="1">
                  <c:v>30.0377766320034</c:v>
                </c:pt>
                <c:pt idx="2">
                  <c:v>44.866613090904409</c:v>
                </c:pt>
                <c:pt idx="3">
                  <c:v>59.824479221115745</c:v>
                </c:pt>
                <c:pt idx="4">
                  <c:v>48.809896513700657</c:v>
                </c:pt>
                <c:pt idx="5">
                  <c:v>51.805883758940539</c:v>
                </c:pt>
                <c:pt idx="6">
                  <c:v>61.1780474635638</c:v>
                </c:pt>
                <c:pt idx="7">
                  <c:v>52.101326819428202</c:v>
                </c:pt>
                <c:pt idx="8">
                  <c:v>79.399995446627983</c:v>
                </c:pt>
                <c:pt idx="9">
                  <c:v>93.055994348627792</c:v>
                </c:pt>
                <c:pt idx="10">
                  <c:v>59.927286791261842</c:v>
                </c:pt>
                <c:pt idx="11">
                  <c:v>79.376429597598431</c:v>
                </c:pt>
                <c:pt idx="12">
                  <c:v>93.659355969363929</c:v>
                </c:pt>
                <c:pt idx="13">
                  <c:v>46.341612883925684</c:v>
                </c:pt>
                <c:pt idx="14">
                  <c:v>68.641262907402677</c:v>
                </c:pt>
                <c:pt idx="15">
                  <c:v>99.847498973916103</c:v>
                </c:pt>
                <c:pt idx="16">
                  <c:v>103.71857861225577</c:v>
                </c:pt>
                <c:pt idx="17">
                  <c:v>101.88480908261917</c:v>
                </c:pt>
                <c:pt idx="18">
                  <c:v>109.82348781923197</c:v>
                </c:pt>
                <c:pt idx="19">
                  <c:v>139.57048796556592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4-4891-A946-471A7AE4F7DD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'J25-NUC-fix-G1'!$Q$9:$Q$28</c:f>
              <c:numCache>
                <c:formatCode>0.00</c:formatCode>
                <c:ptCount val="20"/>
                <c:pt idx="0">
                  <c:v>15.201450055641628</c:v>
                </c:pt>
                <c:pt idx="1">
                  <c:v>30.402900111283255</c:v>
                </c:pt>
                <c:pt idx="2">
                  <c:v>45.604350166924881</c:v>
                </c:pt>
                <c:pt idx="3">
                  <c:v>60.805800222566511</c:v>
                </c:pt>
                <c:pt idx="4">
                  <c:v>69.926670255951478</c:v>
                </c:pt>
                <c:pt idx="5">
                  <c:v>79.047540289336453</c:v>
                </c:pt>
                <c:pt idx="6">
                  <c:v>88.168410322721442</c:v>
                </c:pt>
                <c:pt idx="7">
                  <c:v>97.289280356106417</c:v>
                </c:pt>
                <c:pt idx="8">
                  <c:v>106.41015038949139</c:v>
                </c:pt>
                <c:pt idx="9">
                  <c:v>115.53102042287635</c:v>
                </c:pt>
                <c:pt idx="10">
                  <c:v>124.65189045626134</c:v>
                </c:pt>
                <c:pt idx="11">
                  <c:v>133.77276048964632</c:v>
                </c:pt>
                <c:pt idx="12">
                  <c:v>138.33319550633882</c:v>
                </c:pt>
                <c:pt idx="13">
                  <c:v>142.89363052303131</c:v>
                </c:pt>
                <c:pt idx="14">
                  <c:v>142.89363052303131</c:v>
                </c:pt>
                <c:pt idx="15">
                  <c:v>142.89363052303131</c:v>
                </c:pt>
                <c:pt idx="16">
                  <c:v>142.89363052303131</c:v>
                </c:pt>
                <c:pt idx="17">
                  <c:v>142.89363052303131</c:v>
                </c:pt>
                <c:pt idx="18">
                  <c:v>142.89363052303131</c:v>
                </c:pt>
                <c:pt idx="19">
                  <c:v>142.89363052303131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4-4891-A946-471A7AE4F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'J25-NUC-fix-G1'!$P$9:$P$28</c:f>
              <c:numCache>
                <c:formatCode>0.00</c:formatCode>
                <c:ptCount val="20"/>
                <c:pt idx="0">
                  <c:v>15.201450055641628</c:v>
                </c:pt>
                <c:pt idx="1">
                  <c:v>15.0188883160017</c:v>
                </c:pt>
                <c:pt idx="2">
                  <c:v>14.955537696968138</c:v>
                </c:pt>
                <c:pt idx="3">
                  <c:v>14.956119805278936</c:v>
                </c:pt>
                <c:pt idx="4">
                  <c:v>9.76197930274013</c:v>
                </c:pt>
                <c:pt idx="5">
                  <c:v>8.6343139598234213</c:v>
                </c:pt>
                <c:pt idx="6">
                  <c:v>8.7397210662233995</c:v>
                </c:pt>
                <c:pt idx="7">
                  <c:v>6.5126658524285252</c:v>
                </c:pt>
                <c:pt idx="8">
                  <c:v>8.8222217162919989</c:v>
                </c:pt>
                <c:pt idx="9">
                  <c:v>9.3055994348627777</c:v>
                </c:pt>
                <c:pt idx="10">
                  <c:v>5.4479351628419863</c:v>
                </c:pt>
                <c:pt idx="11">
                  <c:v>6.6147024664665359</c:v>
                </c:pt>
                <c:pt idx="12">
                  <c:v>7.2045658437972255</c:v>
                </c:pt>
                <c:pt idx="13">
                  <c:v>3.3101152059946917</c:v>
                </c:pt>
                <c:pt idx="14">
                  <c:v>4.5760841938268442</c:v>
                </c:pt>
                <c:pt idx="15">
                  <c:v>6.2404686858697564</c:v>
                </c:pt>
                <c:pt idx="16">
                  <c:v>6.1010928595444573</c:v>
                </c:pt>
                <c:pt idx="17">
                  <c:v>5.6602671712566206</c:v>
                </c:pt>
                <c:pt idx="18">
                  <c:v>5.7801835694332615</c:v>
                </c:pt>
                <c:pt idx="19">
                  <c:v>6.9785243982782958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2-4776-987A-7A533C521EBA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'J25-NUC-fix-G1'!$R$9:$R$28</c:f>
              <c:numCache>
                <c:formatCode>0.00</c:formatCode>
                <c:ptCount val="20"/>
                <c:pt idx="0">
                  <c:v>15.201450055641628</c:v>
                </c:pt>
                <c:pt idx="1">
                  <c:v>15.201450055641628</c:v>
                </c:pt>
                <c:pt idx="2">
                  <c:v>15.201450055641628</c:v>
                </c:pt>
                <c:pt idx="3">
                  <c:v>15.201450055641628</c:v>
                </c:pt>
                <c:pt idx="4">
                  <c:v>13.985334051190296</c:v>
                </c:pt>
                <c:pt idx="5">
                  <c:v>13.174590048222743</c:v>
                </c:pt>
                <c:pt idx="6">
                  <c:v>12.595487188960206</c:v>
                </c:pt>
                <c:pt idx="7">
                  <c:v>12.161160044513302</c:v>
                </c:pt>
                <c:pt idx="8">
                  <c:v>11.823350043276822</c:v>
                </c:pt>
                <c:pt idx="9">
                  <c:v>11.553102042287637</c:v>
                </c:pt>
                <c:pt idx="10">
                  <c:v>11.331990041478305</c:v>
                </c:pt>
                <c:pt idx="11">
                  <c:v>11.147730040803861</c:v>
                </c:pt>
                <c:pt idx="12">
                  <c:v>10.641015038949142</c:v>
                </c:pt>
                <c:pt idx="13">
                  <c:v>10.206687894502236</c:v>
                </c:pt>
                <c:pt idx="14">
                  <c:v>9.5262420348687531</c:v>
                </c:pt>
                <c:pt idx="15">
                  <c:v>8.9308519076894566</c:v>
                </c:pt>
                <c:pt idx="16">
                  <c:v>8.405507677825371</c:v>
                </c:pt>
                <c:pt idx="17">
                  <c:v>7.9385350290572942</c:v>
                </c:pt>
                <c:pt idx="18">
                  <c:v>7.5207173959490152</c:v>
                </c:pt>
                <c:pt idx="19">
                  <c:v>7.1446815261515653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2-4776-987A-7A533C521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'J25-NUC-dyn-G1'!$O$9:$O$28</c:f>
              <c:numCache>
                <c:formatCode>0.00</c:formatCode>
                <c:ptCount val="20"/>
                <c:pt idx="0">
                  <c:v>15.143914910056521</c:v>
                </c:pt>
                <c:pt idx="1">
                  <c:v>29.966417797345116</c:v>
                </c:pt>
                <c:pt idx="2">
                  <c:v>46.416736668336547</c:v>
                </c:pt>
                <c:pt idx="3">
                  <c:v>64.584701083840969</c:v>
                </c:pt>
                <c:pt idx="4">
                  <c:v>77.297066455879389</c:v>
                </c:pt>
                <c:pt idx="5">
                  <c:v>86.647536586606989</c:v>
                </c:pt>
                <c:pt idx="6">
                  <c:v>96.24371811726165</c:v>
                </c:pt>
                <c:pt idx="7">
                  <c:v>107.01731236461764</c:v>
                </c:pt>
                <c:pt idx="8">
                  <c:v>113.24706168500741</c:v>
                </c:pt>
                <c:pt idx="9">
                  <c:v>121.77981728276652</c:v>
                </c:pt>
                <c:pt idx="10">
                  <c:v>129.94965915642024</c:v>
                </c:pt>
                <c:pt idx="11">
                  <c:v>142.49276269907867</c:v>
                </c:pt>
                <c:pt idx="12">
                  <c:v>143.90368799655101</c:v>
                </c:pt>
                <c:pt idx="13">
                  <c:v>148.79858125918108</c:v>
                </c:pt>
                <c:pt idx="14">
                  <c:v>152.4656449245642</c:v>
                </c:pt>
                <c:pt idx="15">
                  <c:v>152.8955008690956</c:v>
                </c:pt>
                <c:pt idx="16">
                  <c:v>152.97276799709789</c:v>
                </c:pt>
                <c:pt idx="17">
                  <c:v>150.71796386252859</c:v>
                </c:pt>
                <c:pt idx="18">
                  <c:v>152.33340645331143</c:v>
                </c:pt>
                <c:pt idx="19">
                  <c:v>152.44550649067799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2-4FE4-9F5F-CD739C40679D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'J25-NUC-dyn-G1'!$Q$9:$Q$28</c:f>
              <c:numCache>
                <c:formatCode>0.00</c:formatCode>
                <c:ptCount val="20"/>
                <c:pt idx="0">
                  <c:v>15.143914910056521</c:v>
                </c:pt>
                <c:pt idx="1">
                  <c:v>30.287829820113043</c:v>
                </c:pt>
                <c:pt idx="2">
                  <c:v>45.431744730169562</c:v>
                </c:pt>
                <c:pt idx="3">
                  <c:v>60.575659640226085</c:v>
                </c:pt>
                <c:pt idx="4">
                  <c:v>69.662008586259986</c:v>
                </c:pt>
                <c:pt idx="5">
                  <c:v>78.748357532293909</c:v>
                </c:pt>
                <c:pt idx="6">
                  <c:v>87.834706478327831</c:v>
                </c:pt>
                <c:pt idx="7">
                  <c:v>96.921055424361754</c:v>
                </c:pt>
                <c:pt idx="8">
                  <c:v>106.00740437039566</c:v>
                </c:pt>
                <c:pt idx="9">
                  <c:v>115.09375331642956</c:v>
                </c:pt>
                <c:pt idx="10">
                  <c:v>124.18010226246346</c:v>
                </c:pt>
                <c:pt idx="11">
                  <c:v>133.26645120849741</c:v>
                </c:pt>
                <c:pt idx="12">
                  <c:v>137.80962568151438</c:v>
                </c:pt>
                <c:pt idx="13">
                  <c:v>142.35280015453131</c:v>
                </c:pt>
                <c:pt idx="14">
                  <c:v>142.35280015453131</c:v>
                </c:pt>
                <c:pt idx="15">
                  <c:v>142.35280015453131</c:v>
                </c:pt>
                <c:pt idx="16">
                  <c:v>142.35280015453131</c:v>
                </c:pt>
                <c:pt idx="17">
                  <c:v>142.35280015453131</c:v>
                </c:pt>
                <c:pt idx="18">
                  <c:v>142.35280015453131</c:v>
                </c:pt>
                <c:pt idx="19">
                  <c:v>142.35280015453131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2-4FE4-9F5F-CD739C40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'J25-NUC-dyn-G1'!$P$9:$P$28</c:f>
              <c:numCache>
                <c:formatCode>0.00</c:formatCode>
                <c:ptCount val="20"/>
                <c:pt idx="0">
                  <c:v>15.143914910056521</c:v>
                </c:pt>
                <c:pt idx="1">
                  <c:v>14.983208898672558</c:v>
                </c:pt>
                <c:pt idx="2">
                  <c:v>15.472245556112183</c:v>
                </c:pt>
                <c:pt idx="3">
                  <c:v>16.146175270960242</c:v>
                </c:pt>
                <c:pt idx="4">
                  <c:v>15.459413291175878</c:v>
                </c:pt>
                <c:pt idx="5">
                  <c:v>14.441256097767832</c:v>
                </c:pt>
                <c:pt idx="6">
                  <c:v>13.749102588180234</c:v>
                </c:pt>
                <c:pt idx="7">
                  <c:v>13.377164045577205</c:v>
                </c:pt>
                <c:pt idx="8">
                  <c:v>12.583006853889714</c:v>
                </c:pt>
                <c:pt idx="9">
                  <c:v>12.177981728276654</c:v>
                </c:pt>
                <c:pt idx="10">
                  <c:v>11.813605377856383</c:v>
                </c:pt>
                <c:pt idx="11">
                  <c:v>11.874396891589887</c:v>
                </c:pt>
                <c:pt idx="12">
                  <c:v>11.069514461273156</c:v>
                </c:pt>
                <c:pt idx="13">
                  <c:v>10.628470089941507</c:v>
                </c:pt>
                <c:pt idx="14">
                  <c:v>10.164376328304282</c:v>
                </c:pt>
                <c:pt idx="15">
                  <c:v>9.555968804318475</c:v>
                </c:pt>
                <c:pt idx="16">
                  <c:v>8.998398117476345</c:v>
                </c:pt>
                <c:pt idx="17">
                  <c:v>8.3732202145849204</c:v>
                </c:pt>
                <c:pt idx="18">
                  <c:v>8.0175477080690225</c:v>
                </c:pt>
                <c:pt idx="19">
                  <c:v>7.6222753245338986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C-43D6-9ECA-B9F103990EFB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'J25-NUC-dyn-G1'!$R$9:$R$28</c:f>
              <c:numCache>
                <c:formatCode>0.00</c:formatCode>
                <c:ptCount val="20"/>
                <c:pt idx="0">
                  <c:v>15.143914910056521</c:v>
                </c:pt>
                <c:pt idx="1">
                  <c:v>15.143914910056521</c:v>
                </c:pt>
                <c:pt idx="2">
                  <c:v>15.143914910056521</c:v>
                </c:pt>
                <c:pt idx="3">
                  <c:v>15.143914910056521</c:v>
                </c:pt>
                <c:pt idx="4">
                  <c:v>13.932401717251997</c:v>
                </c:pt>
                <c:pt idx="5">
                  <c:v>13.124726255382321</c:v>
                </c:pt>
                <c:pt idx="6">
                  <c:v>12.54781521118969</c:v>
                </c:pt>
                <c:pt idx="7">
                  <c:v>12.115131928045219</c:v>
                </c:pt>
                <c:pt idx="8">
                  <c:v>11.778600485599517</c:v>
                </c:pt>
                <c:pt idx="9">
                  <c:v>11.509375331642955</c:v>
                </c:pt>
                <c:pt idx="10">
                  <c:v>11.289100205678496</c:v>
                </c:pt>
                <c:pt idx="11">
                  <c:v>11.105537600708118</c:v>
                </c:pt>
                <c:pt idx="12">
                  <c:v>10.600740437039567</c:v>
                </c:pt>
                <c:pt idx="13">
                  <c:v>10.168057153895093</c:v>
                </c:pt>
                <c:pt idx="14">
                  <c:v>9.4901866769687526</c:v>
                </c:pt>
                <c:pt idx="15">
                  <c:v>8.8970500096582068</c:v>
                </c:pt>
                <c:pt idx="16">
                  <c:v>8.373694126737135</c:v>
                </c:pt>
                <c:pt idx="17">
                  <c:v>7.9084888974739611</c:v>
                </c:pt>
                <c:pt idx="18">
                  <c:v>7.4922526397121736</c:v>
                </c:pt>
                <c:pt idx="19">
                  <c:v>7.1176400077265649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FC-43D6-9ECA-B9F103990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'J25-NUC-dyn-eps'!$O$9:$O$28</c:f>
              <c:numCache>
                <c:formatCode>0.00</c:formatCode>
                <c:ptCount val="20"/>
                <c:pt idx="0">
                  <c:v>15.026573867555431</c:v>
                </c:pt>
                <c:pt idx="1">
                  <c:v>31.275398241387787</c:v>
                </c:pt>
                <c:pt idx="2">
                  <c:v>45.587604788008385</c:v>
                </c:pt>
                <c:pt idx="3">
                  <c:v>66.77952389117101</c:v>
                </c:pt>
                <c:pt idx="4">
                  <c:v>70.479305018626363</c:v>
                </c:pt>
                <c:pt idx="5">
                  <c:v>82.870753231519302</c:v>
                </c:pt>
                <c:pt idx="6">
                  <c:v>88.803289207456118</c:v>
                </c:pt>
                <c:pt idx="7">
                  <c:v>100.85668958223162</c:v>
                </c:pt>
                <c:pt idx="8">
                  <c:v>108.68722420938809</c:v>
                </c:pt>
                <c:pt idx="9">
                  <c:v>118.75931297376262</c:v>
                </c:pt>
                <c:pt idx="10">
                  <c:v>130.85621827287375</c:v>
                </c:pt>
                <c:pt idx="11">
                  <c:v>136.71657803293721</c:v>
                </c:pt>
                <c:pt idx="12">
                  <c:v>140.02584465118395</c:v>
                </c:pt>
                <c:pt idx="13">
                  <c:v>144.59162065950144</c:v>
                </c:pt>
                <c:pt idx="14">
                  <c:v>145.91963646005973</c:v>
                </c:pt>
                <c:pt idx="15">
                  <c:v>147.15109229624832</c:v>
                </c:pt>
                <c:pt idx="16">
                  <c:v>146.6647894493297</c:v>
                </c:pt>
                <c:pt idx="17">
                  <c:v>145.4350902085595</c:v>
                </c:pt>
                <c:pt idx="18">
                  <c:v>150.78862548134015</c:v>
                </c:pt>
                <c:pt idx="19">
                  <c:v>151.88446289420577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4-4076-B71F-34FB8A5EE8F8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'J25-NUC-dyn-eps'!$Q$9:$Q$28</c:f>
              <c:numCache>
                <c:formatCode>0.00</c:formatCode>
                <c:ptCount val="20"/>
                <c:pt idx="0">
                  <c:v>15.026573867555431</c:v>
                </c:pt>
                <c:pt idx="1">
                  <c:v>30.053147735110862</c:v>
                </c:pt>
                <c:pt idx="2">
                  <c:v>45.079721602666289</c:v>
                </c:pt>
                <c:pt idx="3">
                  <c:v>60.106295470221724</c:v>
                </c:pt>
                <c:pt idx="4">
                  <c:v>69.122239790754975</c:v>
                </c:pt>
                <c:pt idx="5">
                  <c:v>78.13818411128824</c:v>
                </c:pt>
                <c:pt idx="6">
                  <c:v>87.154128431821491</c:v>
                </c:pt>
                <c:pt idx="7">
                  <c:v>96.170072752354756</c:v>
                </c:pt>
                <c:pt idx="8">
                  <c:v>105.18601707288802</c:v>
                </c:pt>
                <c:pt idx="9">
                  <c:v>114.20196139342126</c:v>
                </c:pt>
                <c:pt idx="10">
                  <c:v>123.21790571395452</c:v>
                </c:pt>
                <c:pt idx="11">
                  <c:v>132.2338500344878</c:v>
                </c:pt>
                <c:pt idx="12">
                  <c:v>136.74182219475443</c:v>
                </c:pt>
                <c:pt idx="13">
                  <c:v>141.24979435502107</c:v>
                </c:pt>
                <c:pt idx="14">
                  <c:v>141.24979435502107</c:v>
                </c:pt>
                <c:pt idx="15">
                  <c:v>141.24979435502107</c:v>
                </c:pt>
                <c:pt idx="16">
                  <c:v>141.24979435502107</c:v>
                </c:pt>
                <c:pt idx="17">
                  <c:v>141.24979435502107</c:v>
                </c:pt>
                <c:pt idx="18">
                  <c:v>141.24979435502107</c:v>
                </c:pt>
                <c:pt idx="19">
                  <c:v>141.24979435502107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4-4076-B71F-34FB8A5EE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'J25-NUC-dyn-eps'!$P$9:$P$28</c:f>
              <c:numCache>
                <c:formatCode>0.00</c:formatCode>
                <c:ptCount val="20"/>
                <c:pt idx="0">
                  <c:v>15.026573867555431</c:v>
                </c:pt>
                <c:pt idx="1">
                  <c:v>15.637699120693894</c:v>
                </c:pt>
                <c:pt idx="2">
                  <c:v>15.195868262669459</c:v>
                </c:pt>
                <c:pt idx="3">
                  <c:v>16.694880972792753</c:v>
                </c:pt>
                <c:pt idx="4">
                  <c:v>14.09586100372527</c:v>
                </c:pt>
                <c:pt idx="5">
                  <c:v>13.811792205253219</c:v>
                </c:pt>
                <c:pt idx="6">
                  <c:v>12.686184172493732</c:v>
                </c:pt>
                <c:pt idx="7">
                  <c:v>12.607086197778953</c:v>
                </c:pt>
                <c:pt idx="8">
                  <c:v>12.076358245487565</c:v>
                </c:pt>
                <c:pt idx="9">
                  <c:v>11.87593129737626</c:v>
                </c:pt>
                <c:pt idx="10">
                  <c:v>11.896019842988526</c:v>
                </c:pt>
                <c:pt idx="11">
                  <c:v>11.393048169411435</c:v>
                </c:pt>
                <c:pt idx="12">
                  <c:v>10.77121881932184</c:v>
                </c:pt>
                <c:pt idx="13">
                  <c:v>10.3279729042501</c:v>
                </c:pt>
                <c:pt idx="14">
                  <c:v>9.7279757640039826</c:v>
                </c:pt>
                <c:pt idx="15">
                  <c:v>9.1969432685155201</c:v>
                </c:pt>
                <c:pt idx="16">
                  <c:v>8.6273405558429221</c:v>
                </c:pt>
                <c:pt idx="17">
                  <c:v>8.0797272338088622</c:v>
                </c:pt>
                <c:pt idx="18">
                  <c:v>7.9362434463863227</c:v>
                </c:pt>
                <c:pt idx="19">
                  <c:v>7.5942231447102904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5-45E5-A441-3AE3A9DF4FBF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'J25-NUC-dyn-eps'!$R$9:$R$28</c:f>
              <c:numCache>
                <c:formatCode>0.00</c:formatCode>
                <c:ptCount val="20"/>
                <c:pt idx="0">
                  <c:v>15.026573867555431</c:v>
                </c:pt>
                <c:pt idx="1">
                  <c:v>15.026573867555431</c:v>
                </c:pt>
                <c:pt idx="2">
                  <c:v>15.026573867555431</c:v>
                </c:pt>
                <c:pt idx="3">
                  <c:v>15.026573867555431</c:v>
                </c:pt>
                <c:pt idx="4">
                  <c:v>13.824447958150994</c:v>
                </c:pt>
                <c:pt idx="5">
                  <c:v>13.023030685214707</c:v>
                </c:pt>
                <c:pt idx="6">
                  <c:v>12.4505897759745</c:v>
                </c:pt>
                <c:pt idx="7">
                  <c:v>12.021259094044344</c:v>
                </c:pt>
                <c:pt idx="8">
                  <c:v>11.687335230320892</c:v>
                </c:pt>
                <c:pt idx="9">
                  <c:v>11.420196139342126</c:v>
                </c:pt>
                <c:pt idx="10">
                  <c:v>11.201627792177685</c:v>
                </c:pt>
                <c:pt idx="11">
                  <c:v>11.019487502873984</c:v>
                </c:pt>
                <c:pt idx="12">
                  <c:v>10.518601707288802</c:v>
                </c:pt>
                <c:pt idx="13">
                  <c:v>10.089271025358647</c:v>
                </c:pt>
                <c:pt idx="14">
                  <c:v>9.4166529570014053</c:v>
                </c:pt>
                <c:pt idx="15">
                  <c:v>8.8281121471888166</c:v>
                </c:pt>
                <c:pt idx="16">
                  <c:v>8.308811432648298</c:v>
                </c:pt>
                <c:pt idx="17">
                  <c:v>7.8472107975011705</c:v>
                </c:pt>
                <c:pt idx="18">
                  <c:v>7.4341997028958451</c:v>
                </c:pt>
                <c:pt idx="19">
                  <c:v>7.0624897177510535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65-45E5-A441-3AE3A9DF4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Absolute performance in events/second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'J25-NUC-dyn-GraalNative'!$O$9:$O$28</c:f>
              <c:numCache>
                <c:formatCode>0.00</c:formatCode>
                <c:ptCount val="20"/>
                <c:pt idx="0">
                  <c:v>15.045216885229358</c:v>
                </c:pt>
                <c:pt idx="1">
                  <c:v>29.977711164436474</c:v>
                </c:pt>
                <c:pt idx="2">
                  <c:v>45.261560290647601</c:v>
                </c:pt>
                <c:pt idx="3">
                  <c:v>60.719021739319885</c:v>
                </c:pt>
                <c:pt idx="4">
                  <c:v>73.216553614807864</c:v>
                </c:pt>
                <c:pt idx="5">
                  <c:v>91.754544344096914</c:v>
                </c:pt>
                <c:pt idx="6">
                  <c:v>93.093471166690776</c:v>
                </c:pt>
                <c:pt idx="7">
                  <c:v>103.65389052006559</c:v>
                </c:pt>
                <c:pt idx="8">
                  <c:v>111.93340149790477</c:v>
                </c:pt>
                <c:pt idx="9">
                  <c:v>120.84600963703141</c:v>
                </c:pt>
                <c:pt idx="10">
                  <c:v>131.08243337798504</c:v>
                </c:pt>
                <c:pt idx="11">
                  <c:v>140.92787164315916</c:v>
                </c:pt>
                <c:pt idx="12">
                  <c:v>145.71409571819444</c:v>
                </c:pt>
                <c:pt idx="13">
                  <c:v>151.37863661389889</c:v>
                </c:pt>
                <c:pt idx="14">
                  <c:v>151.43884754071203</c:v>
                </c:pt>
                <c:pt idx="15">
                  <c:v>151.22889098326746</c:v>
                </c:pt>
                <c:pt idx="16">
                  <c:v>150.68838224517259</c:v>
                </c:pt>
                <c:pt idx="17">
                  <c:v>151.70677222125232</c:v>
                </c:pt>
                <c:pt idx="18">
                  <c:v>150.48324140460764</c:v>
                </c:pt>
                <c:pt idx="19">
                  <c:v>151.26768554954663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F-417A-B748-546A8C10371F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'J25-NUC-dyn-GraalNative'!$Q$9:$Q$28</c:f>
              <c:numCache>
                <c:formatCode>0.00</c:formatCode>
                <c:ptCount val="20"/>
                <c:pt idx="0">
                  <c:v>15.045216885229358</c:v>
                </c:pt>
                <c:pt idx="1">
                  <c:v>30.090433770458716</c:v>
                </c:pt>
                <c:pt idx="2">
                  <c:v>45.135650655688075</c:v>
                </c:pt>
                <c:pt idx="3">
                  <c:v>60.180867540917433</c:v>
                </c:pt>
                <c:pt idx="4">
                  <c:v>69.207997672055058</c:v>
                </c:pt>
                <c:pt idx="5">
                  <c:v>78.235127803192654</c:v>
                </c:pt>
                <c:pt idx="6">
                  <c:v>87.262257934330265</c:v>
                </c:pt>
                <c:pt idx="7">
                  <c:v>96.28938806546789</c:v>
                </c:pt>
                <c:pt idx="8">
                  <c:v>105.3165181966055</c:v>
                </c:pt>
                <c:pt idx="9">
                  <c:v>114.34364832774311</c:v>
                </c:pt>
                <c:pt idx="10">
                  <c:v>123.37077845888072</c:v>
                </c:pt>
                <c:pt idx="11">
                  <c:v>132.39790859001837</c:v>
                </c:pt>
                <c:pt idx="12">
                  <c:v>136.9114736555872</c:v>
                </c:pt>
                <c:pt idx="13">
                  <c:v>141.42503872115597</c:v>
                </c:pt>
                <c:pt idx="14">
                  <c:v>141.42503872115597</c:v>
                </c:pt>
                <c:pt idx="15">
                  <c:v>141.42503872115597</c:v>
                </c:pt>
                <c:pt idx="16">
                  <c:v>141.42503872115597</c:v>
                </c:pt>
                <c:pt idx="17">
                  <c:v>141.42503872115597</c:v>
                </c:pt>
                <c:pt idx="18">
                  <c:v>141.42503872115597</c:v>
                </c:pt>
                <c:pt idx="19">
                  <c:v>141.42503872115597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F-417A-B748-546A8C103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1">
                <a:solidFill>
                  <a:schemeClr val="tx1"/>
                </a:solidFill>
              </a:rPr>
              <a:t>Relative performance in events/thread/second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Measurement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'J25-NUC-dyn-GraalNative'!$P$9:$P$28</c:f>
              <c:numCache>
                <c:formatCode>0.00</c:formatCode>
                <c:ptCount val="20"/>
                <c:pt idx="0">
                  <c:v>15.045216885229358</c:v>
                </c:pt>
                <c:pt idx="1">
                  <c:v>14.988855582218237</c:v>
                </c:pt>
                <c:pt idx="2">
                  <c:v>15.087186763549202</c:v>
                </c:pt>
                <c:pt idx="3">
                  <c:v>15.179755434829971</c:v>
                </c:pt>
                <c:pt idx="4">
                  <c:v>14.643310722961569</c:v>
                </c:pt>
                <c:pt idx="5">
                  <c:v>15.292424057349486</c:v>
                </c:pt>
                <c:pt idx="6">
                  <c:v>13.299067309527254</c:v>
                </c:pt>
                <c:pt idx="7">
                  <c:v>12.956736315008198</c:v>
                </c:pt>
                <c:pt idx="8">
                  <c:v>12.437044610878306</c:v>
                </c:pt>
                <c:pt idx="9">
                  <c:v>12.08460096370314</c:v>
                </c:pt>
                <c:pt idx="10">
                  <c:v>11.916584852544094</c:v>
                </c:pt>
                <c:pt idx="11">
                  <c:v>11.743989303596596</c:v>
                </c:pt>
                <c:pt idx="12">
                  <c:v>11.208776593707265</c:v>
                </c:pt>
                <c:pt idx="13">
                  <c:v>10.812759758135638</c:v>
                </c:pt>
                <c:pt idx="14">
                  <c:v>10.095923169380805</c:v>
                </c:pt>
                <c:pt idx="15">
                  <c:v>9.4518056864542164</c:v>
                </c:pt>
                <c:pt idx="16">
                  <c:v>8.8640224850101532</c:v>
                </c:pt>
                <c:pt idx="17">
                  <c:v>8.4281540122917953</c:v>
                </c:pt>
                <c:pt idx="18">
                  <c:v>7.9201706002425079</c:v>
                </c:pt>
                <c:pt idx="19">
                  <c:v>7.5633842774773319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E01-90A7-59CB6ECD2A61}"/>
            </c:ext>
          </c:extLst>
        </c:ser>
        <c:ser>
          <c:idx val="1"/>
          <c:order val="1"/>
          <c:tx>
            <c:v>Theoretical value</c:v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'J25-NUC-dyn-GraalNative'!$R$9:$R$28</c:f>
              <c:numCache>
                <c:formatCode>0.00</c:formatCode>
                <c:ptCount val="20"/>
                <c:pt idx="0">
                  <c:v>15.045216885229358</c:v>
                </c:pt>
                <c:pt idx="1">
                  <c:v>15.045216885229358</c:v>
                </c:pt>
                <c:pt idx="2">
                  <c:v>15.045216885229358</c:v>
                </c:pt>
                <c:pt idx="3">
                  <c:v>15.045216885229358</c:v>
                </c:pt>
                <c:pt idx="4">
                  <c:v>13.84159953441101</c:v>
                </c:pt>
                <c:pt idx="5">
                  <c:v>13.039187967198776</c:v>
                </c:pt>
                <c:pt idx="6">
                  <c:v>12.466036847761467</c:v>
                </c:pt>
                <c:pt idx="7">
                  <c:v>12.036173508183486</c:v>
                </c:pt>
                <c:pt idx="8">
                  <c:v>11.701835355178389</c:v>
                </c:pt>
                <c:pt idx="9">
                  <c:v>11.434364832774312</c:v>
                </c:pt>
                <c:pt idx="10">
                  <c:v>11.215525314443703</c:v>
                </c:pt>
                <c:pt idx="11">
                  <c:v>11.033159049168198</c:v>
                </c:pt>
                <c:pt idx="12">
                  <c:v>10.531651819660553</c:v>
                </c:pt>
                <c:pt idx="13">
                  <c:v>10.10178848008257</c:v>
                </c:pt>
                <c:pt idx="14">
                  <c:v>9.4283359147437302</c:v>
                </c:pt>
                <c:pt idx="15">
                  <c:v>8.8390649200722482</c:v>
                </c:pt>
                <c:pt idx="16">
                  <c:v>8.3191199247738794</c:v>
                </c:pt>
                <c:pt idx="17">
                  <c:v>7.8569465956197764</c:v>
                </c:pt>
                <c:pt idx="18">
                  <c:v>7.4434230905871566</c:v>
                </c:pt>
                <c:pt idx="19">
                  <c:v>7.0712519360577986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6-4E01-90A7-59CB6ECD2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6591"/>
        <c:axId val="594094767"/>
      </c:lineChart>
      <c:catAx>
        <c:axId val="66913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4094767"/>
        <c:crosses val="autoZero"/>
        <c:auto val="1"/>
        <c:lblAlgn val="ctr"/>
        <c:lblOffset val="100"/>
        <c:noMultiLvlLbl val="0"/>
      </c:catAx>
      <c:valAx>
        <c:axId val="59409476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Events/thread/sec.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136591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1"/>
        </a:gra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81040D2-9BC4-42A0-B037-ED1A5FE2E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07A55A9-E29D-4D08-BEFE-623EB2D94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14</xdr:row>
      <xdr:rowOff>73025</xdr:rowOff>
    </xdr:from>
    <xdr:to>
      <xdr:col>24</xdr:col>
      <xdr:colOff>266700</xdr:colOff>
      <xdr:row>26</xdr:row>
      <xdr:rowOff>75365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DBAD45E5-41F4-4ABE-8D46-1408224E8B77}"/>
            </a:ext>
          </a:extLst>
        </xdr:cNvPr>
        <xdr:cNvCxnSpPr/>
      </xdr:nvCxnSpPr>
      <xdr:spPr>
        <a:xfrm>
          <a:off x="13792200" y="2597150"/>
          <a:ext cx="0" cy="22883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16</xdr:row>
      <xdr:rowOff>161925</xdr:rowOff>
    </xdr:from>
    <xdr:to>
      <xdr:col>25</xdr:col>
      <xdr:colOff>190500</xdr:colOff>
      <xdr:row>16</xdr:row>
      <xdr:rowOff>161925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D2C23CF8-D88C-4242-BC2F-2B61F3C6E7E1}"/>
            </a:ext>
          </a:extLst>
        </xdr:cNvPr>
        <xdr:cNvCxnSpPr/>
      </xdr:nvCxnSpPr>
      <xdr:spPr>
        <a:xfrm>
          <a:off x="13887450" y="306705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16</xdr:row>
      <xdr:rowOff>161924</xdr:rowOff>
    </xdr:from>
    <xdr:to>
      <xdr:col>26</xdr:col>
      <xdr:colOff>9525</xdr:colOff>
      <xdr:row>19</xdr:row>
      <xdr:rowOff>152400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B4A6D662-BAFB-4DF8-BE84-6C1EEA7A8006}"/>
            </a:ext>
          </a:extLst>
        </xdr:cNvPr>
        <xdr:cNvSpPr txBox="1"/>
      </xdr:nvSpPr>
      <xdr:spPr>
        <a:xfrm>
          <a:off x="13792200" y="3067049"/>
          <a:ext cx="1266825" cy="56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>
              <a:solidFill>
                <a:schemeClr val="accent1"/>
              </a:solidFill>
            </a:rPr>
            <a:t>From here on only logical cores</a:t>
          </a:r>
          <a:endParaRPr lang="de-D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247650</xdr:colOff>
      <xdr:row>37</xdr:row>
      <xdr:rowOff>123825</xdr:rowOff>
    </xdr:from>
    <xdr:to>
      <xdr:col>24</xdr:col>
      <xdr:colOff>247650</xdr:colOff>
      <xdr:row>52</xdr:row>
      <xdr:rowOff>166102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FDC94DED-45D9-40C5-B918-212F21B60755}"/>
            </a:ext>
          </a:extLst>
        </xdr:cNvPr>
        <xdr:cNvCxnSpPr/>
      </xdr:nvCxnSpPr>
      <xdr:spPr>
        <a:xfrm>
          <a:off x="13773150" y="7029450"/>
          <a:ext cx="0" cy="28997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43</xdr:row>
      <xdr:rowOff>57150</xdr:rowOff>
    </xdr:from>
    <xdr:to>
      <xdr:col>25</xdr:col>
      <xdr:colOff>142875</xdr:colOff>
      <xdr:row>43</xdr:row>
      <xdr:rowOff>57150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163E3550-7267-486E-9188-B9D6BB29F816}"/>
            </a:ext>
          </a:extLst>
        </xdr:cNvPr>
        <xdr:cNvCxnSpPr/>
      </xdr:nvCxnSpPr>
      <xdr:spPr>
        <a:xfrm>
          <a:off x="13839825" y="810577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85724</xdr:rowOff>
    </xdr:from>
    <xdr:to>
      <xdr:col>26</xdr:col>
      <xdr:colOff>9525</xdr:colOff>
      <xdr:row>46</xdr:row>
      <xdr:rowOff>76200</xdr:rowOff>
    </xdr:to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B58D2782-614C-4CA7-8CEB-2933CB8AC8D2}"/>
            </a:ext>
          </a:extLst>
        </xdr:cNvPr>
        <xdr:cNvSpPr txBox="1"/>
      </xdr:nvSpPr>
      <xdr:spPr>
        <a:xfrm>
          <a:off x="13792200" y="8134349"/>
          <a:ext cx="1266825" cy="56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only logical cores</a:t>
          </a:r>
        </a:p>
      </xdr:txBody>
    </xdr:sp>
    <xdr:clientData/>
  </xdr:twoCellAnchor>
  <xdr:twoCellAnchor>
    <xdr:from>
      <xdr:col>28</xdr:col>
      <xdr:colOff>161925</xdr:colOff>
      <xdr:row>9</xdr:row>
      <xdr:rowOff>152400</xdr:rowOff>
    </xdr:from>
    <xdr:to>
      <xdr:col>28</xdr:col>
      <xdr:colOff>161925</xdr:colOff>
      <xdr:row>26</xdr:row>
      <xdr:rowOff>72524</xdr:rowOff>
    </xdr:to>
    <xdr:cxnSp macro="">
      <xdr:nvCxnSpPr>
        <xdr:cNvPr id="15" name="Gerader Verbinder 14">
          <a:extLst>
            <a:ext uri="{FF2B5EF4-FFF2-40B4-BE49-F238E27FC236}">
              <a16:creationId xmlns:a16="http://schemas.microsoft.com/office/drawing/2014/main" id="{8B58ECA5-6AD0-407B-866D-81B8F53D0ED4}"/>
            </a:ext>
          </a:extLst>
        </xdr:cNvPr>
        <xdr:cNvCxnSpPr/>
      </xdr:nvCxnSpPr>
      <xdr:spPr>
        <a:xfrm>
          <a:off x="16735425" y="1724025"/>
          <a:ext cx="0" cy="3158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16</xdr:row>
      <xdr:rowOff>142875</xdr:rowOff>
    </xdr:from>
    <xdr:to>
      <xdr:col>29</xdr:col>
      <xdr:colOff>76200</xdr:colOff>
      <xdr:row>16</xdr:row>
      <xdr:rowOff>142875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A42C843A-DA07-4612-B7D0-11B25A29C38B}"/>
            </a:ext>
          </a:extLst>
        </xdr:cNvPr>
        <xdr:cNvCxnSpPr/>
      </xdr:nvCxnSpPr>
      <xdr:spPr>
        <a:xfrm>
          <a:off x="13087350" y="30480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200026</xdr:colOff>
      <xdr:row>16</xdr:row>
      <xdr:rowOff>171448</xdr:rowOff>
    </xdr:from>
    <xdr:to>
      <xdr:col>30</xdr:col>
      <xdr:colOff>123826</xdr:colOff>
      <xdr:row>20</xdr:row>
      <xdr:rowOff>44449</xdr:rowOff>
    </xdr:to>
    <xdr:sp macro="" textlink="">
      <xdr:nvSpPr>
        <xdr:cNvPr id="17" name="Textfeld 16">
          <a:extLst>
            <a:ext uri="{FF2B5EF4-FFF2-40B4-BE49-F238E27FC236}">
              <a16:creationId xmlns:a16="http://schemas.microsoft.com/office/drawing/2014/main" id="{0BAA0D26-C9C2-4978-BDDE-C6449C985136}"/>
            </a:ext>
          </a:extLst>
        </xdr:cNvPr>
        <xdr:cNvSpPr txBox="1"/>
      </xdr:nvSpPr>
      <xdr:spPr>
        <a:xfrm>
          <a:off x="17256126" y="2984498"/>
          <a:ext cx="14478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xdr:txBody>
    </xdr:sp>
    <xdr:clientData/>
  </xdr:twoCellAnchor>
  <xdr:twoCellAnchor>
    <xdr:from>
      <xdr:col>24</xdr:col>
      <xdr:colOff>488950</xdr:colOff>
      <xdr:row>23</xdr:row>
      <xdr:rowOff>177800</xdr:rowOff>
    </xdr:from>
    <xdr:to>
      <xdr:col>28</xdr:col>
      <xdr:colOff>133350</xdr:colOff>
      <xdr:row>26</xdr:row>
      <xdr:rowOff>38100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ABCEAA3E-C0AB-97F9-D883-7D89F14CB838}"/>
            </a:ext>
          </a:extLst>
        </xdr:cNvPr>
        <xdr:cNvSpPr txBox="1"/>
      </xdr:nvSpPr>
      <xdr:spPr>
        <a:xfrm>
          <a:off x="16205200" y="4279900"/>
          <a:ext cx="2692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0.7888</cdr:x>
      <cdr:y>0.37819</cdr:y>
    </cdr:from>
    <cdr:to>
      <cdr:x>0.7888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6438931" y="1777715"/>
          <a:ext cx="0" cy="20513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0.80163</cdr:x>
      <cdr:y>0.22905</cdr:y>
    </cdr:from>
    <cdr:to>
      <cdr:x>0.87398</cdr:x>
      <cdr:y>0.22905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6543646" y="1040318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0.79463</cdr:x>
      <cdr:y>0.24058</cdr:y>
    </cdr:from>
    <cdr:to>
      <cdr:x>0.979</cdr:x>
      <cdr:y>0.36013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6486505" y="1092676"/>
          <a:ext cx="1504999" cy="542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cdr:txBody>
    </cdr:sp>
  </cdr:relSizeAnchor>
  <cdr:relSizeAnchor xmlns:cdr="http://schemas.openxmlformats.org/drawingml/2006/chartDrawing">
    <cdr:from>
      <cdr:x>0.45585</cdr:x>
      <cdr:y>0.72003</cdr:y>
    </cdr:from>
    <cdr:to>
      <cdr:x>0.78569</cdr:x>
      <cdr:y>0.81091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3721100" y="3270250"/>
          <a:ext cx="2692400" cy="41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9CBF28D-CD0D-49F1-BA14-E6442903C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091124C-2E3F-4007-AEBC-4A7457C47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14</xdr:row>
      <xdr:rowOff>73025</xdr:rowOff>
    </xdr:from>
    <xdr:to>
      <xdr:col>24</xdr:col>
      <xdr:colOff>266700</xdr:colOff>
      <xdr:row>26</xdr:row>
      <xdr:rowOff>75365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81D8399A-5A04-440C-944D-F7C5C6968968}"/>
            </a:ext>
          </a:extLst>
        </xdr:cNvPr>
        <xdr:cNvCxnSpPr/>
      </xdr:nvCxnSpPr>
      <xdr:spPr>
        <a:xfrm>
          <a:off x="20104100" y="2701925"/>
          <a:ext cx="0" cy="2212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16</xdr:row>
      <xdr:rowOff>161925</xdr:rowOff>
    </xdr:from>
    <xdr:to>
      <xdr:col>25</xdr:col>
      <xdr:colOff>190500</xdr:colOff>
      <xdr:row>16</xdr:row>
      <xdr:rowOff>161925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47EE7524-204E-4B49-ACBF-E0B17746E6EB}"/>
            </a:ext>
          </a:extLst>
        </xdr:cNvPr>
        <xdr:cNvCxnSpPr/>
      </xdr:nvCxnSpPr>
      <xdr:spPr>
        <a:xfrm>
          <a:off x="20199350" y="315912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16</xdr:row>
      <xdr:rowOff>161924</xdr:rowOff>
    </xdr:from>
    <xdr:to>
      <xdr:col>26</xdr:col>
      <xdr:colOff>9525</xdr:colOff>
      <xdr:row>19</xdr:row>
      <xdr:rowOff>152400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D6E99187-65BC-4456-A487-45ABCBCBF02C}"/>
            </a:ext>
          </a:extLst>
        </xdr:cNvPr>
        <xdr:cNvSpPr txBox="1"/>
      </xdr:nvSpPr>
      <xdr:spPr>
        <a:xfrm>
          <a:off x="20104100" y="315912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>
              <a:solidFill>
                <a:schemeClr val="accent1"/>
              </a:solidFill>
            </a:rPr>
            <a:t>From here on only logical cores</a:t>
          </a:r>
          <a:endParaRPr lang="de-D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247650</xdr:colOff>
      <xdr:row>37</xdr:row>
      <xdr:rowOff>123825</xdr:rowOff>
    </xdr:from>
    <xdr:to>
      <xdr:col>24</xdr:col>
      <xdr:colOff>247650</xdr:colOff>
      <xdr:row>52</xdr:row>
      <xdr:rowOff>166102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62159CE1-B0AE-4926-A6EE-9C494FA0F755}"/>
            </a:ext>
          </a:extLst>
        </xdr:cNvPr>
        <xdr:cNvCxnSpPr/>
      </xdr:nvCxnSpPr>
      <xdr:spPr>
        <a:xfrm>
          <a:off x="20085050" y="6988175"/>
          <a:ext cx="0" cy="28045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43</xdr:row>
      <xdr:rowOff>57150</xdr:rowOff>
    </xdr:from>
    <xdr:to>
      <xdr:col>25</xdr:col>
      <xdr:colOff>142875</xdr:colOff>
      <xdr:row>43</xdr:row>
      <xdr:rowOff>57150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6AA21892-1E0B-4932-AE4E-BA6F23BC6A51}"/>
            </a:ext>
          </a:extLst>
        </xdr:cNvPr>
        <xdr:cNvCxnSpPr/>
      </xdr:nvCxnSpPr>
      <xdr:spPr>
        <a:xfrm>
          <a:off x="20151725" y="80264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85724</xdr:rowOff>
    </xdr:from>
    <xdr:to>
      <xdr:col>26</xdr:col>
      <xdr:colOff>9525</xdr:colOff>
      <xdr:row>46</xdr:row>
      <xdr:rowOff>76200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7C6CA8A0-6A59-4569-A98D-74810DD94EF8}"/>
            </a:ext>
          </a:extLst>
        </xdr:cNvPr>
        <xdr:cNvSpPr txBox="1"/>
      </xdr:nvSpPr>
      <xdr:spPr>
        <a:xfrm>
          <a:off x="20104100" y="805497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only logical cores</a:t>
          </a:r>
        </a:p>
      </xdr:txBody>
    </xdr:sp>
    <xdr:clientData/>
  </xdr:twoCellAnchor>
  <xdr:twoCellAnchor>
    <xdr:from>
      <xdr:col>28</xdr:col>
      <xdr:colOff>161925</xdr:colOff>
      <xdr:row>9</xdr:row>
      <xdr:rowOff>152400</xdr:rowOff>
    </xdr:from>
    <xdr:to>
      <xdr:col>28</xdr:col>
      <xdr:colOff>161925</xdr:colOff>
      <xdr:row>26</xdr:row>
      <xdr:rowOff>72524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C6061BA8-DB4A-4EE8-9283-CE58B1BF6505}"/>
            </a:ext>
          </a:extLst>
        </xdr:cNvPr>
        <xdr:cNvCxnSpPr/>
      </xdr:nvCxnSpPr>
      <xdr:spPr>
        <a:xfrm>
          <a:off x="23047325" y="1860550"/>
          <a:ext cx="0" cy="3050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16</xdr:row>
      <xdr:rowOff>142875</xdr:rowOff>
    </xdr:from>
    <xdr:to>
      <xdr:col>29</xdr:col>
      <xdr:colOff>76200</xdr:colOff>
      <xdr:row>16</xdr:row>
      <xdr:rowOff>142875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78EFB1C3-7B56-4404-BF68-2F34937F87EA}"/>
            </a:ext>
          </a:extLst>
        </xdr:cNvPr>
        <xdr:cNvCxnSpPr/>
      </xdr:nvCxnSpPr>
      <xdr:spPr>
        <a:xfrm>
          <a:off x="23133050" y="314007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200026</xdr:colOff>
      <xdr:row>16</xdr:row>
      <xdr:rowOff>171448</xdr:rowOff>
    </xdr:from>
    <xdr:to>
      <xdr:col>30</xdr:col>
      <xdr:colOff>123826</xdr:colOff>
      <xdr:row>20</xdr:row>
      <xdr:rowOff>44449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829BE463-F69D-4F19-B89A-E73C8EF551E4}"/>
            </a:ext>
          </a:extLst>
        </xdr:cNvPr>
        <xdr:cNvSpPr txBox="1"/>
      </xdr:nvSpPr>
      <xdr:spPr>
        <a:xfrm>
          <a:off x="23085426" y="3168648"/>
          <a:ext cx="14478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xdr:txBody>
    </xdr:sp>
    <xdr:clientData/>
  </xdr:twoCellAnchor>
  <xdr:twoCellAnchor>
    <xdr:from>
      <xdr:col>24</xdr:col>
      <xdr:colOff>488950</xdr:colOff>
      <xdr:row>23</xdr:row>
      <xdr:rowOff>177800</xdr:rowOff>
    </xdr:from>
    <xdr:to>
      <xdr:col>28</xdr:col>
      <xdr:colOff>133350</xdr:colOff>
      <xdr:row>26</xdr:row>
      <xdr:rowOff>38100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9DB64230-E842-4537-A075-7B91E5FA0E95}"/>
            </a:ext>
          </a:extLst>
        </xdr:cNvPr>
        <xdr:cNvSpPr txBox="1"/>
      </xdr:nvSpPr>
      <xdr:spPr>
        <a:xfrm>
          <a:off x="20326350" y="4464050"/>
          <a:ext cx="2692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0.7888</cdr:x>
      <cdr:y>0.37819</cdr:y>
    </cdr:from>
    <cdr:to>
      <cdr:x>0.7888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6438931" y="1777715"/>
          <a:ext cx="0" cy="20513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0.80163</cdr:x>
      <cdr:y>0.22905</cdr:y>
    </cdr:from>
    <cdr:to>
      <cdr:x>0.87398</cdr:x>
      <cdr:y>0.22905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6543646" y="1040318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0.79463</cdr:x>
      <cdr:y>0.24058</cdr:y>
    </cdr:from>
    <cdr:to>
      <cdr:x>0.979</cdr:x>
      <cdr:y>0.36013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6486505" y="1092676"/>
          <a:ext cx="1504999" cy="542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cdr:txBody>
    </cdr:sp>
  </cdr:relSizeAnchor>
  <cdr:relSizeAnchor xmlns:cdr="http://schemas.openxmlformats.org/drawingml/2006/chartDrawing">
    <cdr:from>
      <cdr:x>0.45585</cdr:x>
      <cdr:y>0.72003</cdr:y>
    </cdr:from>
    <cdr:to>
      <cdr:x>0.78569</cdr:x>
      <cdr:y>0.81091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3721100" y="3270250"/>
          <a:ext cx="2692400" cy="41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D3802EC-9B1C-462B-90DA-26A5D71B7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10940C3-9286-4C8E-B59F-4170F4C9C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14</xdr:row>
      <xdr:rowOff>73025</xdr:rowOff>
    </xdr:from>
    <xdr:to>
      <xdr:col>24</xdr:col>
      <xdr:colOff>266700</xdr:colOff>
      <xdr:row>26</xdr:row>
      <xdr:rowOff>75365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170C4E3A-B151-4525-9ACC-E45C3DAAEA48}"/>
            </a:ext>
          </a:extLst>
        </xdr:cNvPr>
        <xdr:cNvCxnSpPr/>
      </xdr:nvCxnSpPr>
      <xdr:spPr>
        <a:xfrm>
          <a:off x="20104100" y="2701925"/>
          <a:ext cx="0" cy="2212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16</xdr:row>
      <xdr:rowOff>161925</xdr:rowOff>
    </xdr:from>
    <xdr:to>
      <xdr:col>25</xdr:col>
      <xdr:colOff>190500</xdr:colOff>
      <xdr:row>16</xdr:row>
      <xdr:rowOff>161925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24D38065-2FB1-4824-9DA5-7CFB7CAF95E8}"/>
            </a:ext>
          </a:extLst>
        </xdr:cNvPr>
        <xdr:cNvCxnSpPr/>
      </xdr:nvCxnSpPr>
      <xdr:spPr>
        <a:xfrm>
          <a:off x="20199350" y="315912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16</xdr:row>
      <xdr:rowOff>161924</xdr:rowOff>
    </xdr:from>
    <xdr:to>
      <xdr:col>26</xdr:col>
      <xdr:colOff>9525</xdr:colOff>
      <xdr:row>19</xdr:row>
      <xdr:rowOff>152400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282A66BB-419E-4913-A1CD-B86D73BD1E67}"/>
            </a:ext>
          </a:extLst>
        </xdr:cNvPr>
        <xdr:cNvSpPr txBox="1"/>
      </xdr:nvSpPr>
      <xdr:spPr>
        <a:xfrm>
          <a:off x="20104100" y="315912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>
              <a:solidFill>
                <a:schemeClr val="accent1"/>
              </a:solidFill>
            </a:rPr>
            <a:t>From here on only logical cores</a:t>
          </a:r>
          <a:endParaRPr lang="de-D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247650</xdr:colOff>
      <xdr:row>37</xdr:row>
      <xdr:rowOff>123825</xdr:rowOff>
    </xdr:from>
    <xdr:to>
      <xdr:col>24</xdr:col>
      <xdr:colOff>247650</xdr:colOff>
      <xdr:row>52</xdr:row>
      <xdr:rowOff>166102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72ADA635-25E4-4711-8578-ACBF1FEA4965}"/>
            </a:ext>
          </a:extLst>
        </xdr:cNvPr>
        <xdr:cNvCxnSpPr/>
      </xdr:nvCxnSpPr>
      <xdr:spPr>
        <a:xfrm>
          <a:off x="20085050" y="6988175"/>
          <a:ext cx="0" cy="28045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43</xdr:row>
      <xdr:rowOff>57150</xdr:rowOff>
    </xdr:from>
    <xdr:to>
      <xdr:col>25</xdr:col>
      <xdr:colOff>142875</xdr:colOff>
      <xdr:row>43</xdr:row>
      <xdr:rowOff>57150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8747FD5C-16B1-4156-8CB4-6A2E4F70C2F7}"/>
            </a:ext>
          </a:extLst>
        </xdr:cNvPr>
        <xdr:cNvCxnSpPr/>
      </xdr:nvCxnSpPr>
      <xdr:spPr>
        <a:xfrm>
          <a:off x="20151725" y="80264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85724</xdr:rowOff>
    </xdr:from>
    <xdr:to>
      <xdr:col>26</xdr:col>
      <xdr:colOff>9525</xdr:colOff>
      <xdr:row>46</xdr:row>
      <xdr:rowOff>76200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3261343-9FA3-4A70-8434-F994F145A5AE}"/>
            </a:ext>
          </a:extLst>
        </xdr:cNvPr>
        <xdr:cNvSpPr txBox="1"/>
      </xdr:nvSpPr>
      <xdr:spPr>
        <a:xfrm>
          <a:off x="20104100" y="805497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only logical cores</a:t>
          </a:r>
        </a:p>
      </xdr:txBody>
    </xdr:sp>
    <xdr:clientData/>
  </xdr:twoCellAnchor>
  <xdr:twoCellAnchor>
    <xdr:from>
      <xdr:col>28</xdr:col>
      <xdr:colOff>161925</xdr:colOff>
      <xdr:row>9</xdr:row>
      <xdr:rowOff>152400</xdr:rowOff>
    </xdr:from>
    <xdr:to>
      <xdr:col>28</xdr:col>
      <xdr:colOff>161925</xdr:colOff>
      <xdr:row>26</xdr:row>
      <xdr:rowOff>72524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A3F8BA39-D500-4637-A0CF-04D54C2E8E5F}"/>
            </a:ext>
          </a:extLst>
        </xdr:cNvPr>
        <xdr:cNvCxnSpPr/>
      </xdr:nvCxnSpPr>
      <xdr:spPr>
        <a:xfrm>
          <a:off x="23047325" y="1860550"/>
          <a:ext cx="0" cy="3050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16</xdr:row>
      <xdr:rowOff>142875</xdr:rowOff>
    </xdr:from>
    <xdr:to>
      <xdr:col>29</xdr:col>
      <xdr:colOff>76200</xdr:colOff>
      <xdr:row>16</xdr:row>
      <xdr:rowOff>142875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25DA878A-72CB-411B-AA8F-C9BAE33ECCA6}"/>
            </a:ext>
          </a:extLst>
        </xdr:cNvPr>
        <xdr:cNvCxnSpPr/>
      </xdr:nvCxnSpPr>
      <xdr:spPr>
        <a:xfrm>
          <a:off x="23133050" y="314007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200026</xdr:colOff>
      <xdr:row>16</xdr:row>
      <xdr:rowOff>171448</xdr:rowOff>
    </xdr:from>
    <xdr:to>
      <xdr:col>30</xdr:col>
      <xdr:colOff>123826</xdr:colOff>
      <xdr:row>20</xdr:row>
      <xdr:rowOff>44449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F6AF59F9-0EE7-4BE1-B6F1-8BD547F8A4CE}"/>
            </a:ext>
          </a:extLst>
        </xdr:cNvPr>
        <xdr:cNvSpPr txBox="1"/>
      </xdr:nvSpPr>
      <xdr:spPr>
        <a:xfrm>
          <a:off x="23085426" y="3168648"/>
          <a:ext cx="14478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xdr:txBody>
    </xdr:sp>
    <xdr:clientData/>
  </xdr:twoCellAnchor>
  <xdr:twoCellAnchor>
    <xdr:from>
      <xdr:col>24</xdr:col>
      <xdr:colOff>488950</xdr:colOff>
      <xdr:row>23</xdr:row>
      <xdr:rowOff>177800</xdr:rowOff>
    </xdr:from>
    <xdr:to>
      <xdr:col>28</xdr:col>
      <xdr:colOff>133350</xdr:colOff>
      <xdr:row>26</xdr:row>
      <xdr:rowOff>38100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7CCC619-3DAF-44CD-B282-B49F7FC93CE3}"/>
            </a:ext>
          </a:extLst>
        </xdr:cNvPr>
        <xdr:cNvSpPr txBox="1"/>
      </xdr:nvSpPr>
      <xdr:spPr>
        <a:xfrm>
          <a:off x="20326350" y="4464050"/>
          <a:ext cx="2692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0.7888</cdr:x>
      <cdr:y>0.37819</cdr:y>
    </cdr:from>
    <cdr:to>
      <cdr:x>0.7888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6438931" y="1777715"/>
          <a:ext cx="0" cy="20513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0.80163</cdr:x>
      <cdr:y>0.22905</cdr:y>
    </cdr:from>
    <cdr:to>
      <cdr:x>0.87398</cdr:x>
      <cdr:y>0.22905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6543646" y="1040318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0.79463</cdr:x>
      <cdr:y>0.24058</cdr:y>
    </cdr:from>
    <cdr:to>
      <cdr:x>0.979</cdr:x>
      <cdr:y>0.36013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6486505" y="1092676"/>
          <a:ext cx="1504999" cy="542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cdr:txBody>
    </cdr:sp>
  </cdr:relSizeAnchor>
  <cdr:relSizeAnchor xmlns:cdr="http://schemas.openxmlformats.org/drawingml/2006/chartDrawing">
    <cdr:from>
      <cdr:x>0.45585</cdr:x>
      <cdr:y>0.72003</cdr:y>
    </cdr:from>
    <cdr:to>
      <cdr:x>0.78569</cdr:x>
      <cdr:y>0.81091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3721100" y="3270250"/>
          <a:ext cx="2692400" cy="41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DFB06FF-8898-4C54-BA36-B0D6E2EA9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8530D0F-D25E-4635-A266-9D8F1DAA2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14</xdr:row>
      <xdr:rowOff>73025</xdr:rowOff>
    </xdr:from>
    <xdr:to>
      <xdr:col>24</xdr:col>
      <xdr:colOff>266700</xdr:colOff>
      <xdr:row>26</xdr:row>
      <xdr:rowOff>75365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86DDFFDB-21E2-4724-B1AA-773D28689A2E}"/>
            </a:ext>
          </a:extLst>
        </xdr:cNvPr>
        <xdr:cNvCxnSpPr/>
      </xdr:nvCxnSpPr>
      <xdr:spPr>
        <a:xfrm>
          <a:off x="20104100" y="2701925"/>
          <a:ext cx="0" cy="2212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16</xdr:row>
      <xdr:rowOff>161925</xdr:rowOff>
    </xdr:from>
    <xdr:to>
      <xdr:col>25</xdr:col>
      <xdr:colOff>190500</xdr:colOff>
      <xdr:row>16</xdr:row>
      <xdr:rowOff>161925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B3676194-CC05-471B-904D-420D49C5E41F}"/>
            </a:ext>
          </a:extLst>
        </xdr:cNvPr>
        <xdr:cNvCxnSpPr/>
      </xdr:nvCxnSpPr>
      <xdr:spPr>
        <a:xfrm>
          <a:off x="20199350" y="315912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16</xdr:row>
      <xdr:rowOff>161924</xdr:rowOff>
    </xdr:from>
    <xdr:to>
      <xdr:col>26</xdr:col>
      <xdr:colOff>9525</xdr:colOff>
      <xdr:row>19</xdr:row>
      <xdr:rowOff>152400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A976DC79-0D77-494E-90C0-D71FAD90E229}"/>
            </a:ext>
          </a:extLst>
        </xdr:cNvPr>
        <xdr:cNvSpPr txBox="1"/>
      </xdr:nvSpPr>
      <xdr:spPr>
        <a:xfrm>
          <a:off x="20104100" y="315912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>
              <a:solidFill>
                <a:schemeClr val="accent1"/>
              </a:solidFill>
            </a:rPr>
            <a:t>From here on only logical cores</a:t>
          </a:r>
          <a:endParaRPr lang="de-D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247650</xdr:colOff>
      <xdr:row>37</xdr:row>
      <xdr:rowOff>123825</xdr:rowOff>
    </xdr:from>
    <xdr:to>
      <xdr:col>24</xdr:col>
      <xdr:colOff>247650</xdr:colOff>
      <xdr:row>52</xdr:row>
      <xdr:rowOff>166102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1DCA6472-91D1-4B5C-A1EE-794DB50D71B7}"/>
            </a:ext>
          </a:extLst>
        </xdr:cNvPr>
        <xdr:cNvCxnSpPr/>
      </xdr:nvCxnSpPr>
      <xdr:spPr>
        <a:xfrm>
          <a:off x="20085050" y="6988175"/>
          <a:ext cx="0" cy="28045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43</xdr:row>
      <xdr:rowOff>57150</xdr:rowOff>
    </xdr:from>
    <xdr:to>
      <xdr:col>25</xdr:col>
      <xdr:colOff>142875</xdr:colOff>
      <xdr:row>43</xdr:row>
      <xdr:rowOff>57150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D9B977BB-5060-4CFB-9783-1D165C9EAACB}"/>
            </a:ext>
          </a:extLst>
        </xdr:cNvPr>
        <xdr:cNvCxnSpPr/>
      </xdr:nvCxnSpPr>
      <xdr:spPr>
        <a:xfrm>
          <a:off x="20151725" y="80264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85724</xdr:rowOff>
    </xdr:from>
    <xdr:to>
      <xdr:col>26</xdr:col>
      <xdr:colOff>9525</xdr:colOff>
      <xdr:row>46</xdr:row>
      <xdr:rowOff>76200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91254830-65B5-4C2D-A1AB-D832D85BFEF2}"/>
            </a:ext>
          </a:extLst>
        </xdr:cNvPr>
        <xdr:cNvSpPr txBox="1"/>
      </xdr:nvSpPr>
      <xdr:spPr>
        <a:xfrm>
          <a:off x="20104100" y="805497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only logical cores</a:t>
          </a:r>
        </a:p>
      </xdr:txBody>
    </xdr:sp>
    <xdr:clientData/>
  </xdr:twoCellAnchor>
  <xdr:twoCellAnchor>
    <xdr:from>
      <xdr:col>28</xdr:col>
      <xdr:colOff>161925</xdr:colOff>
      <xdr:row>9</xdr:row>
      <xdr:rowOff>152400</xdr:rowOff>
    </xdr:from>
    <xdr:to>
      <xdr:col>28</xdr:col>
      <xdr:colOff>161925</xdr:colOff>
      <xdr:row>26</xdr:row>
      <xdr:rowOff>72524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9557A5DF-B876-45D8-8C92-2BDEDE828F0E}"/>
            </a:ext>
          </a:extLst>
        </xdr:cNvPr>
        <xdr:cNvCxnSpPr/>
      </xdr:nvCxnSpPr>
      <xdr:spPr>
        <a:xfrm>
          <a:off x="23047325" y="1860550"/>
          <a:ext cx="0" cy="3050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16</xdr:row>
      <xdr:rowOff>142875</xdr:rowOff>
    </xdr:from>
    <xdr:to>
      <xdr:col>29</xdr:col>
      <xdr:colOff>76200</xdr:colOff>
      <xdr:row>16</xdr:row>
      <xdr:rowOff>142875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B1C33D9F-61CF-4E27-BB93-64B1DF71D3C1}"/>
            </a:ext>
          </a:extLst>
        </xdr:cNvPr>
        <xdr:cNvCxnSpPr/>
      </xdr:nvCxnSpPr>
      <xdr:spPr>
        <a:xfrm>
          <a:off x="23133050" y="314007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200026</xdr:colOff>
      <xdr:row>16</xdr:row>
      <xdr:rowOff>171448</xdr:rowOff>
    </xdr:from>
    <xdr:to>
      <xdr:col>30</xdr:col>
      <xdr:colOff>123826</xdr:colOff>
      <xdr:row>20</xdr:row>
      <xdr:rowOff>44449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4EB95263-3CE1-4FB4-8D2B-846DBD2E1CD1}"/>
            </a:ext>
          </a:extLst>
        </xdr:cNvPr>
        <xdr:cNvSpPr txBox="1"/>
      </xdr:nvSpPr>
      <xdr:spPr>
        <a:xfrm>
          <a:off x="23085426" y="3168648"/>
          <a:ext cx="14478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xdr:txBody>
    </xdr:sp>
    <xdr:clientData/>
  </xdr:twoCellAnchor>
  <xdr:twoCellAnchor>
    <xdr:from>
      <xdr:col>24</xdr:col>
      <xdr:colOff>488950</xdr:colOff>
      <xdr:row>23</xdr:row>
      <xdr:rowOff>177800</xdr:rowOff>
    </xdr:from>
    <xdr:to>
      <xdr:col>28</xdr:col>
      <xdr:colOff>133350</xdr:colOff>
      <xdr:row>26</xdr:row>
      <xdr:rowOff>38100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37E1D54D-3643-4AB0-8992-82D9E4323720}"/>
            </a:ext>
          </a:extLst>
        </xdr:cNvPr>
        <xdr:cNvSpPr txBox="1"/>
      </xdr:nvSpPr>
      <xdr:spPr>
        <a:xfrm>
          <a:off x="20326350" y="4464050"/>
          <a:ext cx="2692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0.7888</cdr:x>
      <cdr:y>0.37819</cdr:y>
    </cdr:from>
    <cdr:to>
      <cdr:x>0.7888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6438931" y="1777715"/>
          <a:ext cx="0" cy="20513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0.80163</cdr:x>
      <cdr:y>0.22905</cdr:y>
    </cdr:from>
    <cdr:to>
      <cdr:x>0.87398</cdr:x>
      <cdr:y>0.22905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6543646" y="1040318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0.79463</cdr:x>
      <cdr:y>0.24058</cdr:y>
    </cdr:from>
    <cdr:to>
      <cdr:x>0.979</cdr:x>
      <cdr:y>0.36013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6486505" y="1092676"/>
          <a:ext cx="1504999" cy="542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cdr:txBody>
    </cdr:sp>
  </cdr:relSizeAnchor>
  <cdr:relSizeAnchor xmlns:cdr="http://schemas.openxmlformats.org/drawingml/2006/chartDrawing">
    <cdr:from>
      <cdr:x>0.45585</cdr:x>
      <cdr:y>0.72003</cdr:y>
    </cdr:from>
    <cdr:to>
      <cdr:x>0.78569</cdr:x>
      <cdr:y>0.81091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3721100" y="3270250"/>
          <a:ext cx="2692400" cy="41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E988DD7-C65C-4108-973F-06EF53195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AF265E-7A4E-4DC9-B9A6-48C490445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14</xdr:row>
      <xdr:rowOff>73025</xdr:rowOff>
    </xdr:from>
    <xdr:to>
      <xdr:col>24</xdr:col>
      <xdr:colOff>266700</xdr:colOff>
      <xdr:row>26</xdr:row>
      <xdr:rowOff>75365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2257883B-D13B-4CC1-8E36-C61E2617CB14}"/>
            </a:ext>
          </a:extLst>
        </xdr:cNvPr>
        <xdr:cNvCxnSpPr/>
      </xdr:nvCxnSpPr>
      <xdr:spPr>
        <a:xfrm>
          <a:off x="20104100" y="2701925"/>
          <a:ext cx="0" cy="2212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16</xdr:row>
      <xdr:rowOff>161925</xdr:rowOff>
    </xdr:from>
    <xdr:to>
      <xdr:col>25</xdr:col>
      <xdr:colOff>190500</xdr:colOff>
      <xdr:row>16</xdr:row>
      <xdr:rowOff>161925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26FB5583-D438-43D3-BF6C-E176ECDEB998}"/>
            </a:ext>
          </a:extLst>
        </xdr:cNvPr>
        <xdr:cNvCxnSpPr/>
      </xdr:nvCxnSpPr>
      <xdr:spPr>
        <a:xfrm>
          <a:off x="20199350" y="315912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16</xdr:row>
      <xdr:rowOff>161924</xdr:rowOff>
    </xdr:from>
    <xdr:to>
      <xdr:col>26</xdr:col>
      <xdr:colOff>9525</xdr:colOff>
      <xdr:row>19</xdr:row>
      <xdr:rowOff>152400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4032EBD9-3689-41C3-BF15-B797A47A2ABA}"/>
            </a:ext>
          </a:extLst>
        </xdr:cNvPr>
        <xdr:cNvSpPr txBox="1"/>
      </xdr:nvSpPr>
      <xdr:spPr>
        <a:xfrm>
          <a:off x="20104100" y="315912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>
              <a:solidFill>
                <a:schemeClr val="accent1"/>
              </a:solidFill>
            </a:rPr>
            <a:t>From here on only logical cores</a:t>
          </a:r>
          <a:endParaRPr lang="de-D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247650</xdr:colOff>
      <xdr:row>37</xdr:row>
      <xdr:rowOff>123825</xdr:rowOff>
    </xdr:from>
    <xdr:to>
      <xdr:col>24</xdr:col>
      <xdr:colOff>247650</xdr:colOff>
      <xdr:row>52</xdr:row>
      <xdr:rowOff>166102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C0F5FE4D-9EA2-4743-A3E6-9635B16FE104}"/>
            </a:ext>
          </a:extLst>
        </xdr:cNvPr>
        <xdr:cNvCxnSpPr/>
      </xdr:nvCxnSpPr>
      <xdr:spPr>
        <a:xfrm>
          <a:off x="20085050" y="6988175"/>
          <a:ext cx="0" cy="28045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43</xdr:row>
      <xdr:rowOff>57150</xdr:rowOff>
    </xdr:from>
    <xdr:to>
      <xdr:col>25</xdr:col>
      <xdr:colOff>142875</xdr:colOff>
      <xdr:row>43</xdr:row>
      <xdr:rowOff>57150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C51A4F2D-00F4-4154-A91B-809558FDC97A}"/>
            </a:ext>
          </a:extLst>
        </xdr:cNvPr>
        <xdr:cNvCxnSpPr/>
      </xdr:nvCxnSpPr>
      <xdr:spPr>
        <a:xfrm>
          <a:off x="20151725" y="80264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85724</xdr:rowOff>
    </xdr:from>
    <xdr:to>
      <xdr:col>26</xdr:col>
      <xdr:colOff>9525</xdr:colOff>
      <xdr:row>46</xdr:row>
      <xdr:rowOff>76200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26DF95C8-D472-45EA-B39B-5342E8DA1FBB}"/>
            </a:ext>
          </a:extLst>
        </xdr:cNvPr>
        <xdr:cNvSpPr txBox="1"/>
      </xdr:nvSpPr>
      <xdr:spPr>
        <a:xfrm>
          <a:off x="20104100" y="805497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only logical cores</a:t>
          </a:r>
        </a:p>
      </xdr:txBody>
    </xdr:sp>
    <xdr:clientData/>
  </xdr:twoCellAnchor>
  <xdr:twoCellAnchor>
    <xdr:from>
      <xdr:col>28</xdr:col>
      <xdr:colOff>161925</xdr:colOff>
      <xdr:row>9</xdr:row>
      <xdr:rowOff>152400</xdr:rowOff>
    </xdr:from>
    <xdr:to>
      <xdr:col>28</xdr:col>
      <xdr:colOff>161925</xdr:colOff>
      <xdr:row>26</xdr:row>
      <xdr:rowOff>72524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0233D8FF-504C-45CD-8787-4B56FD181B77}"/>
            </a:ext>
          </a:extLst>
        </xdr:cNvPr>
        <xdr:cNvCxnSpPr/>
      </xdr:nvCxnSpPr>
      <xdr:spPr>
        <a:xfrm>
          <a:off x="23047325" y="1860550"/>
          <a:ext cx="0" cy="3050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16</xdr:row>
      <xdr:rowOff>142875</xdr:rowOff>
    </xdr:from>
    <xdr:to>
      <xdr:col>29</xdr:col>
      <xdr:colOff>76200</xdr:colOff>
      <xdr:row>16</xdr:row>
      <xdr:rowOff>142875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33871D23-6978-4811-86B9-4CE6AEF14B94}"/>
            </a:ext>
          </a:extLst>
        </xdr:cNvPr>
        <xdr:cNvCxnSpPr/>
      </xdr:nvCxnSpPr>
      <xdr:spPr>
        <a:xfrm>
          <a:off x="23133050" y="314007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200026</xdr:colOff>
      <xdr:row>16</xdr:row>
      <xdr:rowOff>171448</xdr:rowOff>
    </xdr:from>
    <xdr:to>
      <xdr:col>30</xdr:col>
      <xdr:colOff>123826</xdr:colOff>
      <xdr:row>20</xdr:row>
      <xdr:rowOff>44449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23F0DD6A-EFDC-4AF4-8700-323F7E583044}"/>
            </a:ext>
          </a:extLst>
        </xdr:cNvPr>
        <xdr:cNvSpPr txBox="1"/>
      </xdr:nvSpPr>
      <xdr:spPr>
        <a:xfrm>
          <a:off x="23085426" y="3168648"/>
          <a:ext cx="14478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xdr:txBody>
    </xdr:sp>
    <xdr:clientData/>
  </xdr:twoCellAnchor>
  <xdr:twoCellAnchor>
    <xdr:from>
      <xdr:col>24</xdr:col>
      <xdr:colOff>488950</xdr:colOff>
      <xdr:row>23</xdr:row>
      <xdr:rowOff>177800</xdr:rowOff>
    </xdr:from>
    <xdr:to>
      <xdr:col>28</xdr:col>
      <xdr:colOff>133350</xdr:colOff>
      <xdr:row>26</xdr:row>
      <xdr:rowOff>38100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A57650F8-AAB6-4D2E-8F4D-78EF4641065A}"/>
            </a:ext>
          </a:extLst>
        </xdr:cNvPr>
        <xdr:cNvSpPr txBox="1"/>
      </xdr:nvSpPr>
      <xdr:spPr>
        <a:xfrm>
          <a:off x="20326350" y="4464050"/>
          <a:ext cx="2692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0.7888</cdr:x>
      <cdr:y>0.37819</cdr:y>
    </cdr:from>
    <cdr:to>
      <cdr:x>0.7888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6438931" y="1777715"/>
          <a:ext cx="0" cy="20513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0.80163</cdr:x>
      <cdr:y>0.22905</cdr:y>
    </cdr:from>
    <cdr:to>
      <cdr:x>0.87398</cdr:x>
      <cdr:y>0.22905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6543646" y="1040318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0.79463</cdr:x>
      <cdr:y>0.24058</cdr:y>
    </cdr:from>
    <cdr:to>
      <cdr:x>0.979</cdr:x>
      <cdr:y>0.36013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6486505" y="1092676"/>
          <a:ext cx="1504999" cy="542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cdr:txBody>
    </cdr:sp>
  </cdr:relSizeAnchor>
  <cdr:relSizeAnchor xmlns:cdr="http://schemas.openxmlformats.org/drawingml/2006/chartDrawing">
    <cdr:from>
      <cdr:x>0.45585</cdr:x>
      <cdr:y>0.72003</cdr:y>
    </cdr:from>
    <cdr:to>
      <cdr:x>0.78569</cdr:x>
      <cdr:y>0.81091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3721100" y="3270250"/>
          <a:ext cx="2692400" cy="41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D2AE1C4-0E38-46B7-927A-11DA42DE3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3999C5B-AA34-48D9-A768-1E5A5D17B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266700</xdr:colOff>
      <xdr:row>14</xdr:row>
      <xdr:rowOff>73025</xdr:rowOff>
    </xdr:from>
    <xdr:to>
      <xdr:col>24</xdr:col>
      <xdr:colOff>266700</xdr:colOff>
      <xdr:row>26</xdr:row>
      <xdr:rowOff>75365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0D663874-704D-4494-9F2C-A72F3F6481E9}"/>
            </a:ext>
          </a:extLst>
        </xdr:cNvPr>
        <xdr:cNvCxnSpPr/>
      </xdr:nvCxnSpPr>
      <xdr:spPr>
        <a:xfrm>
          <a:off x="20104100" y="2701925"/>
          <a:ext cx="0" cy="2212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361950</xdr:colOff>
      <xdr:row>16</xdr:row>
      <xdr:rowOff>161925</xdr:rowOff>
    </xdr:from>
    <xdr:to>
      <xdr:col>25</xdr:col>
      <xdr:colOff>190500</xdr:colOff>
      <xdr:row>16</xdr:row>
      <xdr:rowOff>161925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41EE892A-4822-4CD2-B29A-CCDF1EC97B66}"/>
            </a:ext>
          </a:extLst>
        </xdr:cNvPr>
        <xdr:cNvCxnSpPr/>
      </xdr:nvCxnSpPr>
      <xdr:spPr>
        <a:xfrm>
          <a:off x="20199350" y="315912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16</xdr:row>
      <xdr:rowOff>161924</xdr:rowOff>
    </xdr:from>
    <xdr:to>
      <xdr:col>26</xdr:col>
      <xdr:colOff>9525</xdr:colOff>
      <xdr:row>19</xdr:row>
      <xdr:rowOff>152400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85CF39B1-26EB-4598-8633-F7F3A0F7618F}"/>
            </a:ext>
          </a:extLst>
        </xdr:cNvPr>
        <xdr:cNvSpPr txBox="1"/>
      </xdr:nvSpPr>
      <xdr:spPr>
        <a:xfrm>
          <a:off x="20104100" y="315912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>
              <a:solidFill>
                <a:schemeClr val="accent1"/>
              </a:solidFill>
            </a:rPr>
            <a:t>From here on only logical cores</a:t>
          </a:r>
          <a:endParaRPr lang="de-D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247650</xdr:colOff>
      <xdr:row>37</xdr:row>
      <xdr:rowOff>123825</xdr:rowOff>
    </xdr:from>
    <xdr:to>
      <xdr:col>24</xdr:col>
      <xdr:colOff>247650</xdr:colOff>
      <xdr:row>52</xdr:row>
      <xdr:rowOff>166102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9D6C0800-293E-4038-A7D4-55C79F0C25D1}"/>
            </a:ext>
          </a:extLst>
        </xdr:cNvPr>
        <xdr:cNvCxnSpPr/>
      </xdr:nvCxnSpPr>
      <xdr:spPr>
        <a:xfrm>
          <a:off x="20085050" y="6988175"/>
          <a:ext cx="0" cy="28045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314325</xdr:colOff>
      <xdr:row>43</xdr:row>
      <xdr:rowOff>57150</xdr:rowOff>
    </xdr:from>
    <xdr:to>
      <xdr:col>25</xdr:col>
      <xdr:colOff>142875</xdr:colOff>
      <xdr:row>43</xdr:row>
      <xdr:rowOff>57150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30A85CFD-1140-4B63-92CC-A0F650243140}"/>
            </a:ext>
          </a:extLst>
        </xdr:cNvPr>
        <xdr:cNvCxnSpPr/>
      </xdr:nvCxnSpPr>
      <xdr:spPr>
        <a:xfrm>
          <a:off x="20151725" y="80264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266700</xdr:colOff>
      <xdr:row>43</xdr:row>
      <xdr:rowOff>85724</xdr:rowOff>
    </xdr:from>
    <xdr:to>
      <xdr:col>26</xdr:col>
      <xdr:colOff>9525</xdr:colOff>
      <xdr:row>46</xdr:row>
      <xdr:rowOff>76200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67E93F0E-32A8-4F2B-8DD0-A7BCB558151C}"/>
            </a:ext>
          </a:extLst>
        </xdr:cNvPr>
        <xdr:cNvSpPr txBox="1"/>
      </xdr:nvSpPr>
      <xdr:spPr>
        <a:xfrm>
          <a:off x="20104100" y="8054974"/>
          <a:ext cx="126682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only logical cores</a:t>
          </a:r>
        </a:p>
      </xdr:txBody>
    </xdr:sp>
    <xdr:clientData/>
  </xdr:twoCellAnchor>
  <xdr:twoCellAnchor>
    <xdr:from>
      <xdr:col>28</xdr:col>
      <xdr:colOff>161925</xdr:colOff>
      <xdr:row>9</xdr:row>
      <xdr:rowOff>152400</xdr:rowOff>
    </xdr:from>
    <xdr:to>
      <xdr:col>28</xdr:col>
      <xdr:colOff>161925</xdr:colOff>
      <xdr:row>26</xdr:row>
      <xdr:rowOff>72524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6A76C421-AEE3-48A4-8018-E49A503C1993}"/>
            </a:ext>
          </a:extLst>
        </xdr:cNvPr>
        <xdr:cNvCxnSpPr/>
      </xdr:nvCxnSpPr>
      <xdr:spPr>
        <a:xfrm>
          <a:off x="23047325" y="1860550"/>
          <a:ext cx="0" cy="30506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247650</xdr:colOff>
      <xdr:row>16</xdr:row>
      <xdr:rowOff>142875</xdr:rowOff>
    </xdr:from>
    <xdr:to>
      <xdr:col>29</xdr:col>
      <xdr:colOff>76200</xdr:colOff>
      <xdr:row>16</xdr:row>
      <xdr:rowOff>142875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C798B355-BF1A-48C7-8BA3-53A04D88FC21}"/>
            </a:ext>
          </a:extLst>
        </xdr:cNvPr>
        <xdr:cNvCxnSpPr/>
      </xdr:nvCxnSpPr>
      <xdr:spPr>
        <a:xfrm>
          <a:off x="23133050" y="3140075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200026</xdr:colOff>
      <xdr:row>16</xdr:row>
      <xdr:rowOff>171448</xdr:rowOff>
    </xdr:from>
    <xdr:to>
      <xdr:col>30</xdr:col>
      <xdr:colOff>123826</xdr:colOff>
      <xdr:row>20</xdr:row>
      <xdr:rowOff>44449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E18B6CD8-27DA-491D-B9F7-0B92BF90C3E5}"/>
            </a:ext>
          </a:extLst>
        </xdr:cNvPr>
        <xdr:cNvSpPr txBox="1"/>
      </xdr:nvSpPr>
      <xdr:spPr>
        <a:xfrm>
          <a:off x="23085426" y="3168648"/>
          <a:ext cx="1447800" cy="609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xdr:txBody>
    </xdr:sp>
    <xdr:clientData/>
  </xdr:twoCellAnchor>
  <xdr:twoCellAnchor>
    <xdr:from>
      <xdr:col>24</xdr:col>
      <xdr:colOff>488950</xdr:colOff>
      <xdr:row>23</xdr:row>
      <xdr:rowOff>177800</xdr:rowOff>
    </xdr:from>
    <xdr:to>
      <xdr:col>28</xdr:col>
      <xdr:colOff>133350</xdr:colOff>
      <xdr:row>26</xdr:row>
      <xdr:rowOff>38100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4859F550-680E-4269-869B-61A437E702AF}"/>
            </a:ext>
          </a:extLst>
        </xdr:cNvPr>
        <xdr:cNvSpPr txBox="1"/>
      </xdr:nvSpPr>
      <xdr:spPr>
        <a:xfrm>
          <a:off x="20326350" y="4464050"/>
          <a:ext cx="2692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0.7888</cdr:x>
      <cdr:y>0.37819</cdr:y>
    </cdr:from>
    <cdr:to>
      <cdr:x>0.7888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6438931" y="1777715"/>
          <a:ext cx="0" cy="205133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0.80163</cdr:x>
      <cdr:y>0.22905</cdr:y>
    </cdr:from>
    <cdr:to>
      <cdr:x>0.87398</cdr:x>
      <cdr:y>0.22905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6543646" y="1040318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0.79463</cdr:x>
      <cdr:y>0.24058</cdr:y>
    </cdr:from>
    <cdr:to>
      <cdr:x>0.979</cdr:x>
      <cdr:y>0.36013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6486505" y="1092676"/>
          <a:ext cx="1504999" cy="542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logical cores</a:t>
          </a:r>
        </a:p>
      </cdr:txBody>
    </cdr:sp>
  </cdr:relSizeAnchor>
  <cdr:relSizeAnchor xmlns:cdr="http://schemas.openxmlformats.org/drawingml/2006/chartDrawing">
    <cdr:from>
      <cdr:x>0.45585</cdr:x>
      <cdr:y>0.72003</cdr:y>
    </cdr:from>
    <cdr:to>
      <cdr:x>0.78569</cdr:x>
      <cdr:y>0.81091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3721100" y="3270250"/>
          <a:ext cx="2692400" cy="41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40% of a physical core per logical core was assumed.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E2CDE80-1217-4C23-839E-945582AD9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CE0C71D-EE8F-4F7A-B85E-D9C284106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219075</xdr:colOff>
      <xdr:row>9</xdr:row>
      <xdr:rowOff>152400</xdr:rowOff>
    </xdr:from>
    <xdr:to>
      <xdr:col>27</xdr:col>
      <xdr:colOff>219075</xdr:colOff>
      <xdr:row>26</xdr:row>
      <xdr:rowOff>72524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4C934A91-18D0-47A5-A92C-307FE69FBB62}"/>
            </a:ext>
          </a:extLst>
        </xdr:cNvPr>
        <xdr:cNvCxnSpPr/>
      </xdr:nvCxnSpPr>
      <xdr:spPr>
        <a:xfrm>
          <a:off x="21612225" y="1914525"/>
          <a:ext cx="0" cy="3158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22</xdr:row>
      <xdr:rowOff>180975</xdr:rowOff>
    </xdr:from>
    <xdr:to>
      <xdr:col>28</xdr:col>
      <xdr:colOff>66675</xdr:colOff>
      <xdr:row>22</xdr:row>
      <xdr:rowOff>180975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D144AE9F-27DC-44C1-A84D-9D10BB207293}"/>
            </a:ext>
          </a:extLst>
        </xdr:cNvPr>
        <xdr:cNvCxnSpPr/>
      </xdr:nvCxnSpPr>
      <xdr:spPr>
        <a:xfrm>
          <a:off x="21631275" y="44196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190501</xdr:colOff>
      <xdr:row>23</xdr:row>
      <xdr:rowOff>19048</xdr:rowOff>
    </xdr:from>
    <xdr:to>
      <xdr:col>29</xdr:col>
      <xdr:colOff>114301</xdr:colOff>
      <xdr:row>26</xdr:row>
      <xdr:rowOff>82549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AB84DFBD-A1D9-4FFF-8E5B-8B59F6BC75CD}"/>
            </a:ext>
          </a:extLst>
        </xdr:cNvPr>
        <xdr:cNvSpPr txBox="1"/>
      </xdr:nvSpPr>
      <xdr:spPr>
        <a:xfrm>
          <a:off x="21583651" y="4448173"/>
          <a:ext cx="1447800" cy="635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xdr:txBody>
    </xdr:sp>
    <xdr:clientData/>
  </xdr:twoCellAnchor>
  <xdr:twoCellAnchor>
    <xdr:from>
      <xdr:col>20</xdr:col>
      <xdr:colOff>374650</xdr:colOff>
      <xdr:row>10</xdr:row>
      <xdr:rowOff>177799</xdr:rowOff>
    </xdr:from>
    <xdr:to>
      <xdr:col>24</xdr:col>
      <xdr:colOff>19050</xdr:colOff>
      <xdr:row>14</xdr:row>
      <xdr:rowOff>0</xdr:rowOff>
    </xdr:to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CD340046-9AD4-40D9-98D3-3AFC009BF628}"/>
            </a:ext>
          </a:extLst>
        </xdr:cNvPr>
        <xdr:cNvSpPr txBox="1"/>
      </xdr:nvSpPr>
      <xdr:spPr>
        <a:xfrm>
          <a:off x="16433800" y="2130424"/>
          <a:ext cx="2692400" cy="584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0.70712</cdr:x>
      <cdr:y>0.19656</cdr:y>
    </cdr:from>
    <cdr:to>
      <cdr:x>0.70712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5772165" y="923925"/>
          <a:ext cx="0" cy="290512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0.71178</cdr:x>
      <cdr:y>0.20879</cdr:y>
    </cdr:from>
    <cdr:to>
      <cdr:x>0.78413</cdr:x>
      <cdr:y>0.20879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5810221" y="981420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0.70478</cdr:x>
      <cdr:y>0.22032</cdr:y>
    </cdr:from>
    <cdr:to>
      <cdr:x>0.88915</cdr:x>
      <cdr:y>0.33987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5753080" y="1035617"/>
          <a:ext cx="1504999" cy="5619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cdr:txBody>
    </cdr:sp>
  </cdr:relSizeAnchor>
  <cdr:relSizeAnchor xmlns:cdr="http://schemas.openxmlformats.org/drawingml/2006/chartDrawing">
    <cdr:from>
      <cdr:x>0.06845</cdr:x>
      <cdr:y>0.6329</cdr:y>
    </cdr:from>
    <cdr:to>
      <cdr:x>0.39829</cdr:x>
      <cdr:y>0.7619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558769" y="2974988"/>
          <a:ext cx="2692460" cy="6064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95EE59F-2495-4A50-90D8-F07C11873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5E9C1F4-BFA2-49D6-8A51-9D5EA2B4D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219075</xdr:colOff>
      <xdr:row>9</xdr:row>
      <xdr:rowOff>152400</xdr:rowOff>
    </xdr:from>
    <xdr:to>
      <xdr:col>27</xdr:col>
      <xdr:colOff>219075</xdr:colOff>
      <xdr:row>26</xdr:row>
      <xdr:rowOff>72524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8EA34C45-137F-4DDC-83C6-33CC6EEAC14E}"/>
            </a:ext>
          </a:extLst>
        </xdr:cNvPr>
        <xdr:cNvCxnSpPr/>
      </xdr:nvCxnSpPr>
      <xdr:spPr>
        <a:xfrm>
          <a:off x="21612225" y="1914525"/>
          <a:ext cx="0" cy="3158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22</xdr:row>
      <xdr:rowOff>180975</xdr:rowOff>
    </xdr:from>
    <xdr:to>
      <xdr:col>28</xdr:col>
      <xdr:colOff>66675</xdr:colOff>
      <xdr:row>22</xdr:row>
      <xdr:rowOff>180975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253DD176-5F8D-4AF0-8C33-6D944D1631B1}"/>
            </a:ext>
          </a:extLst>
        </xdr:cNvPr>
        <xdr:cNvCxnSpPr/>
      </xdr:nvCxnSpPr>
      <xdr:spPr>
        <a:xfrm>
          <a:off x="21631275" y="44196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190501</xdr:colOff>
      <xdr:row>23</xdr:row>
      <xdr:rowOff>19048</xdr:rowOff>
    </xdr:from>
    <xdr:to>
      <xdr:col>29</xdr:col>
      <xdr:colOff>114301</xdr:colOff>
      <xdr:row>26</xdr:row>
      <xdr:rowOff>82549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2069B077-B772-4E1B-8F53-A104521043E4}"/>
            </a:ext>
          </a:extLst>
        </xdr:cNvPr>
        <xdr:cNvSpPr txBox="1"/>
      </xdr:nvSpPr>
      <xdr:spPr>
        <a:xfrm>
          <a:off x="21583651" y="4448173"/>
          <a:ext cx="1447800" cy="635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xdr:txBody>
    </xdr:sp>
    <xdr:clientData/>
  </xdr:twoCellAnchor>
  <xdr:twoCellAnchor>
    <xdr:from>
      <xdr:col>20</xdr:col>
      <xdr:colOff>374650</xdr:colOff>
      <xdr:row>10</xdr:row>
      <xdr:rowOff>177799</xdr:rowOff>
    </xdr:from>
    <xdr:to>
      <xdr:col>24</xdr:col>
      <xdr:colOff>19050</xdr:colOff>
      <xdr:row>14</xdr:row>
      <xdr:rowOff>0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A916E401-371D-4880-89C8-0AC2F1768168}"/>
            </a:ext>
          </a:extLst>
        </xdr:cNvPr>
        <xdr:cNvSpPr txBox="1"/>
      </xdr:nvSpPr>
      <xdr:spPr>
        <a:xfrm>
          <a:off x="16433800" y="2130424"/>
          <a:ext cx="2692400" cy="584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0.70712</cdr:x>
      <cdr:y>0.19656</cdr:y>
    </cdr:from>
    <cdr:to>
      <cdr:x>0.70712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5772165" y="923925"/>
          <a:ext cx="0" cy="290512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0.71178</cdr:x>
      <cdr:y>0.20879</cdr:y>
    </cdr:from>
    <cdr:to>
      <cdr:x>0.78413</cdr:x>
      <cdr:y>0.20879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5810221" y="981420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0.70478</cdr:x>
      <cdr:y>0.22032</cdr:y>
    </cdr:from>
    <cdr:to>
      <cdr:x>0.88915</cdr:x>
      <cdr:y>0.33987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5753080" y="1035617"/>
          <a:ext cx="1504999" cy="5619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cdr:txBody>
    </cdr:sp>
  </cdr:relSizeAnchor>
  <cdr:relSizeAnchor xmlns:cdr="http://schemas.openxmlformats.org/drawingml/2006/chartDrawing">
    <cdr:from>
      <cdr:x>0.06845</cdr:x>
      <cdr:y>0.6329</cdr:y>
    </cdr:from>
    <cdr:to>
      <cdr:x>0.39829</cdr:x>
      <cdr:y>0.7619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558769" y="2974988"/>
          <a:ext cx="2692460" cy="6064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D22CFDE-FEFD-4CBC-8C90-C4ED6B36C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F161082-9A1D-4A05-A434-AE91029FD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219075</xdr:colOff>
      <xdr:row>9</xdr:row>
      <xdr:rowOff>152400</xdr:rowOff>
    </xdr:from>
    <xdr:to>
      <xdr:col>27</xdr:col>
      <xdr:colOff>219075</xdr:colOff>
      <xdr:row>26</xdr:row>
      <xdr:rowOff>72524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85D7BE73-E8F7-40EA-98EE-E68831C125E3}"/>
            </a:ext>
          </a:extLst>
        </xdr:cNvPr>
        <xdr:cNvCxnSpPr/>
      </xdr:nvCxnSpPr>
      <xdr:spPr>
        <a:xfrm>
          <a:off x="21612225" y="1914525"/>
          <a:ext cx="0" cy="3158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22</xdr:row>
      <xdr:rowOff>180975</xdr:rowOff>
    </xdr:from>
    <xdr:to>
      <xdr:col>28</xdr:col>
      <xdr:colOff>66675</xdr:colOff>
      <xdr:row>22</xdr:row>
      <xdr:rowOff>180975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38C3A0F3-EBA0-4934-8F2D-FA7CDAD9B70D}"/>
            </a:ext>
          </a:extLst>
        </xdr:cNvPr>
        <xdr:cNvCxnSpPr/>
      </xdr:nvCxnSpPr>
      <xdr:spPr>
        <a:xfrm>
          <a:off x="21631275" y="44196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190501</xdr:colOff>
      <xdr:row>23</xdr:row>
      <xdr:rowOff>19048</xdr:rowOff>
    </xdr:from>
    <xdr:to>
      <xdr:col>29</xdr:col>
      <xdr:colOff>114301</xdr:colOff>
      <xdr:row>26</xdr:row>
      <xdr:rowOff>82549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8C0903A7-2A2C-4101-872E-69A7B3057431}"/>
            </a:ext>
          </a:extLst>
        </xdr:cNvPr>
        <xdr:cNvSpPr txBox="1"/>
      </xdr:nvSpPr>
      <xdr:spPr>
        <a:xfrm>
          <a:off x="21583651" y="4448173"/>
          <a:ext cx="1447800" cy="635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xdr:txBody>
    </xdr:sp>
    <xdr:clientData/>
  </xdr:twoCellAnchor>
  <xdr:twoCellAnchor>
    <xdr:from>
      <xdr:col>20</xdr:col>
      <xdr:colOff>374650</xdr:colOff>
      <xdr:row>10</xdr:row>
      <xdr:rowOff>177799</xdr:rowOff>
    </xdr:from>
    <xdr:to>
      <xdr:col>24</xdr:col>
      <xdr:colOff>19050</xdr:colOff>
      <xdr:row>14</xdr:row>
      <xdr:rowOff>0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F0498914-DD75-4C6F-95FB-43D70EE6446E}"/>
            </a:ext>
          </a:extLst>
        </xdr:cNvPr>
        <xdr:cNvSpPr txBox="1"/>
      </xdr:nvSpPr>
      <xdr:spPr>
        <a:xfrm>
          <a:off x="16433800" y="2130424"/>
          <a:ext cx="2692400" cy="584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xdr:txBody>
    </xdr: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0.70712</cdr:x>
      <cdr:y>0.19656</cdr:y>
    </cdr:from>
    <cdr:to>
      <cdr:x>0.70712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5772165" y="923925"/>
          <a:ext cx="0" cy="290512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0.71178</cdr:x>
      <cdr:y>0.20879</cdr:y>
    </cdr:from>
    <cdr:to>
      <cdr:x>0.78413</cdr:x>
      <cdr:y>0.20879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5810221" y="981420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0.70478</cdr:x>
      <cdr:y>0.22032</cdr:y>
    </cdr:from>
    <cdr:to>
      <cdr:x>0.88915</cdr:x>
      <cdr:y>0.33987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5753080" y="1035617"/>
          <a:ext cx="1504999" cy="5619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cdr:txBody>
    </cdr:sp>
  </cdr:relSizeAnchor>
  <cdr:relSizeAnchor xmlns:cdr="http://schemas.openxmlformats.org/drawingml/2006/chartDrawing">
    <cdr:from>
      <cdr:x>0.06845</cdr:x>
      <cdr:y>0.6329</cdr:y>
    </cdr:from>
    <cdr:to>
      <cdr:x>0.39829</cdr:x>
      <cdr:y>0.7619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558769" y="2974988"/>
          <a:ext cx="2692460" cy="6064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533399</xdr:colOff>
      <xdr:row>6</xdr:row>
      <xdr:rowOff>52387</xdr:rowOff>
    </xdr:from>
    <xdr:to>
      <xdr:col>30</xdr:col>
      <xdr:colOff>314324</xdr:colOff>
      <xdr:row>30</xdr:row>
      <xdr:rowOff>174625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96BA94D-992C-4E24-BACD-B9C79FF90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542925</xdr:colOff>
      <xdr:row>32</xdr:row>
      <xdr:rowOff>142875</xdr:rowOff>
    </xdr:from>
    <xdr:to>
      <xdr:col>30</xdr:col>
      <xdr:colOff>323850</xdr:colOff>
      <xdr:row>57</xdr:row>
      <xdr:rowOff>80963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95D8AB0-8221-4A86-94EF-66CC6F65C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219075</xdr:colOff>
      <xdr:row>9</xdr:row>
      <xdr:rowOff>152400</xdr:rowOff>
    </xdr:from>
    <xdr:to>
      <xdr:col>27</xdr:col>
      <xdr:colOff>219075</xdr:colOff>
      <xdr:row>26</xdr:row>
      <xdr:rowOff>72524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204B2D30-BE42-4B20-BAD5-E9458C083B4C}"/>
            </a:ext>
          </a:extLst>
        </xdr:cNvPr>
        <xdr:cNvCxnSpPr/>
      </xdr:nvCxnSpPr>
      <xdr:spPr>
        <a:xfrm>
          <a:off x="21612225" y="1914525"/>
          <a:ext cx="0" cy="31586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22</xdr:row>
      <xdr:rowOff>180975</xdr:rowOff>
    </xdr:from>
    <xdr:to>
      <xdr:col>28</xdr:col>
      <xdr:colOff>66675</xdr:colOff>
      <xdr:row>22</xdr:row>
      <xdr:rowOff>180975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D9695054-DFBE-4D8F-A886-7414EDB159F2}"/>
            </a:ext>
          </a:extLst>
        </xdr:cNvPr>
        <xdr:cNvCxnSpPr/>
      </xdr:nvCxnSpPr>
      <xdr:spPr>
        <a:xfrm>
          <a:off x="21631275" y="4419600"/>
          <a:ext cx="59055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190501</xdr:colOff>
      <xdr:row>23</xdr:row>
      <xdr:rowOff>19048</xdr:rowOff>
    </xdr:from>
    <xdr:to>
      <xdr:col>29</xdr:col>
      <xdr:colOff>114301</xdr:colOff>
      <xdr:row>26</xdr:row>
      <xdr:rowOff>82549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6DF1BEB0-92BF-4779-9687-16905B2EB313}"/>
            </a:ext>
          </a:extLst>
        </xdr:cNvPr>
        <xdr:cNvSpPr txBox="1"/>
      </xdr:nvSpPr>
      <xdr:spPr>
        <a:xfrm>
          <a:off x="21583651" y="4448173"/>
          <a:ext cx="1447800" cy="635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xdr:txBody>
    </xdr:sp>
    <xdr:clientData/>
  </xdr:twoCellAnchor>
  <xdr:twoCellAnchor>
    <xdr:from>
      <xdr:col>20</xdr:col>
      <xdr:colOff>374650</xdr:colOff>
      <xdr:row>10</xdr:row>
      <xdr:rowOff>177799</xdr:rowOff>
    </xdr:from>
    <xdr:to>
      <xdr:col>24</xdr:col>
      <xdr:colOff>19050</xdr:colOff>
      <xdr:row>14</xdr:row>
      <xdr:rowOff>0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EF21C938-9103-422F-9D7A-44F39644F901}"/>
            </a:ext>
          </a:extLst>
        </xdr:cNvPr>
        <xdr:cNvSpPr txBox="1"/>
      </xdr:nvSpPr>
      <xdr:spPr>
        <a:xfrm>
          <a:off x="16433800" y="2130424"/>
          <a:ext cx="2692400" cy="584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0.70712</cdr:x>
      <cdr:y>0.19656</cdr:y>
    </cdr:from>
    <cdr:to>
      <cdr:x>0.70712</cdr:x>
      <cdr:y>0.81459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id="{8B58ECA5-6AD0-407B-866D-81B8F53D0ED4}"/>
            </a:ext>
          </a:extLst>
        </cdr:cNvPr>
        <cdr:cNvCxnSpPr/>
      </cdr:nvCxnSpPr>
      <cdr:spPr>
        <a:xfrm xmlns:a="http://schemas.openxmlformats.org/drawingml/2006/main">
          <a:off x="5772165" y="923925"/>
          <a:ext cx="0" cy="290512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0.71178</cdr:x>
      <cdr:y>0.20879</cdr:y>
    </cdr:from>
    <cdr:to>
      <cdr:x>0.78413</cdr:x>
      <cdr:y>0.20879</cdr:y>
    </cdr:to>
    <cdr:cxnSp macro="">
      <cdr:nvCxnSpPr>
        <cdr:cNvPr id="3" name="Gerade Verbindung mit Pfeil 2">
          <a:extLst xmlns:a="http://schemas.openxmlformats.org/drawingml/2006/main">
            <a:ext uri="{FF2B5EF4-FFF2-40B4-BE49-F238E27FC236}">
              <a16:creationId xmlns:a16="http://schemas.microsoft.com/office/drawing/2014/main" id="{A42C843A-DA07-4612-B7D0-11B25A29C38B}"/>
            </a:ext>
          </a:extLst>
        </cdr:cNvPr>
        <cdr:cNvCxnSpPr/>
      </cdr:nvCxnSpPr>
      <cdr:spPr>
        <a:xfrm xmlns:a="http://schemas.openxmlformats.org/drawingml/2006/main">
          <a:off x="5810221" y="981420"/>
          <a:ext cx="590587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0.70478</cdr:x>
      <cdr:y>0.22032</cdr:y>
    </cdr:from>
    <cdr:to>
      <cdr:x>0.88915</cdr:x>
      <cdr:y>0.33987</cdr:y>
    </cdr:to>
    <cdr:sp macro="" textlink="">
      <cdr:nvSpPr>
        <cdr:cNvPr id="4" name="Textfeld 16">
          <a:extLst xmlns:a="http://schemas.openxmlformats.org/drawingml/2006/main">
            <a:ext uri="{FF2B5EF4-FFF2-40B4-BE49-F238E27FC236}">
              <a16:creationId xmlns:a16="http://schemas.microsoft.com/office/drawing/2014/main" id="{0BAA0D26-C9C2-4978-BDDE-C6449C985136}"/>
            </a:ext>
          </a:extLst>
        </cdr:cNvPr>
        <cdr:cNvSpPr txBox="1"/>
      </cdr:nvSpPr>
      <cdr:spPr>
        <a:xfrm xmlns:a="http://schemas.openxmlformats.org/drawingml/2006/main">
          <a:off x="5753080" y="1035617"/>
          <a:ext cx="1504999" cy="5619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100">
              <a:solidFill>
                <a:schemeClr val="accent1"/>
              </a:solidFill>
            </a:rPr>
            <a:t>From here on more threads than cores</a:t>
          </a:r>
        </a:p>
      </cdr:txBody>
    </cdr:sp>
  </cdr:relSizeAnchor>
  <cdr:relSizeAnchor xmlns:cdr="http://schemas.openxmlformats.org/drawingml/2006/chartDrawing">
    <cdr:from>
      <cdr:x>0.06845</cdr:x>
      <cdr:y>0.6329</cdr:y>
    </cdr:from>
    <cdr:to>
      <cdr:x>0.39829</cdr:x>
      <cdr:y>0.7619</cdr:y>
    </cdr:to>
    <cdr:sp macro="" textlink="">
      <cdr:nvSpPr>
        <cdr:cNvPr id="5" name="Textfeld 3">
          <a:extLst xmlns:a="http://schemas.openxmlformats.org/drawingml/2006/main">
            <a:ext uri="{FF2B5EF4-FFF2-40B4-BE49-F238E27FC236}">
              <a16:creationId xmlns:a16="http://schemas.microsoft.com/office/drawing/2014/main" id="{ABCEAA3E-C0AB-97F9-D883-7D89F14CB838}"/>
            </a:ext>
          </a:extLst>
        </cdr:cNvPr>
        <cdr:cNvSpPr txBox="1"/>
      </cdr:nvSpPr>
      <cdr:spPr>
        <a:xfrm xmlns:a="http://schemas.openxmlformats.org/drawingml/2006/main">
          <a:off x="558769" y="2974988"/>
          <a:ext cx="2692460" cy="6064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900">
              <a:solidFill>
                <a:schemeClr val="accent1"/>
              </a:solidFill>
            </a:rPr>
            <a:t>For the theoretical value, a performance increase of 60% of a performance core per efficiency core and 30% per low power core was assumed.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DF54-AB0B-4E1C-89AA-9F839251E891}">
  <dimension ref="A1:U88"/>
  <sheetViews>
    <sheetView tabSelected="1" topLeftCell="I1" zoomScaleNormal="100" workbookViewId="0">
      <selection sqref="A1:M1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17290</v>
      </c>
      <c r="D9" s="1">
        <v>16940</v>
      </c>
      <c r="E9" s="1">
        <v>17110</v>
      </c>
      <c r="F9" s="6">
        <f>B9*2/C9*1000</f>
        <v>11567379.98843262</v>
      </c>
      <c r="G9" s="6">
        <f>B9*2/D9*1000</f>
        <v>11806375.442739079</v>
      </c>
      <c r="H9" s="6">
        <f>B9*2/E9*1000</f>
        <v>11689070.718877848</v>
      </c>
      <c r="I9" s="6">
        <f>F9/A9</f>
        <v>11567379.98843262</v>
      </c>
      <c r="J9" s="6">
        <f>G9/A9</f>
        <v>11806375.442739079</v>
      </c>
      <c r="K9" s="6">
        <f>H9/A9</f>
        <v>11689070.718877848</v>
      </c>
      <c r="L9" s="6">
        <f>(F9+G9+H9)/3</f>
        <v>11687608.716683185</v>
      </c>
      <c r="M9" s="6">
        <f>L9/A9</f>
        <v>11687608.716683185</v>
      </c>
      <c r="N9" s="6"/>
      <c r="O9" s="10">
        <f>(F9+G9+H9)/3/1000000</f>
        <v>11.687608716683185</v>
      </c>
      <c r="P9" s="10">
        <f>(I9+J9+K9)/3/1000000</f>
        <v>11.687608716683185</v>
      </c>
      <c r="Q9" s="10">
        <f>L9/1000000</f>
        <v>11.687608716683185</v>
      </c>
      <c r="R9" s="10">
        <f>M9/1000000</f>
        <v>11.687608716683185</v>
      </c>
      <c r="S9" s="6"/>
    </row>
    <row r="10" spans="1:19" x14ac:dyDescent="0.25">
      <c r="A10">
        <v>2</v>
      </c>
      <c r="B10" s="1">
        <f>$B$9*A10</f>
        <v>200000000</v>
      </c>
      <c r="C10" s="1">
        <v>17390</v>
      </c>
      <c r="D10" s="1">
        <v>17120</v>
      </c>
      <c r="E10" s="1">
        <v>17430</v>
      </c>
      <c r="F10" s="6">
        <f t="shared" ref="F10:F73" si="0">B10*2/C10*1000</f>
        <v>23001725.129384704</v>
      </c>
      <c r="G10" s="6">
        <f t="shared" ref="G10:G73" si="1">B10*2/D10*1000</f>
        <v>23364485.981308412</v>
      </c>
      <c r="H10" s="6">
        <f t="shared" ref="H10:H73" si="2">B10*2/E10*1000</f>
        <v>22948938.611589216</v>
      </c>
      <c r="I10" s="6">
        <f t="shared" ref="I10:I73" si="3">F10/A10</f>
        <v>11500862.564692352</v>
      </c>
      <c r="J10" s="6">
        <f t="shared" ref="J10:J73" si="4">G10/A10</f>
        <v>11682242.990654206</v>
      </c>
      <c r="K10" s="6">
        <f t="shared" ref="K10:K73" si="5">H10/A10</f>
        <v>11474469.305794608</v>
      </c>
      <c r="L10" s="6">
        <f t="shared" ref="L10:L40" si="6">$L$9*A10</f>
        <v>23375217.433366369</v>
      </c>
      <c r="M10" s="6">
        <f t="shared" ref="M10:M74" si="7">L10/A10</f>
        <v>11687608.716683185</v>
      </c>
      <c r="N10" s="6"/>
      <c r="O10" s="10">
        <f t="shared" ref="O10:O73" si="8">(F10+G10+H10)/3/1000000</f>
        <v>23.105049907427443</v>
      </c>
      <c r="P10" s="10">
        <f t="shared" ref="P10:P73" si="9">(I10+J10+K10)/3/1000000</f>
        <v>11.552524953713721</v>
      </c>
      <c r="Q10" s="10">
        <f t="shared" ref="Q10:Q73" si="10">L10/1000000</f>
        <v>23.37521743336637</v>
      </c>
      <c r="R10" s="10">
        <f t="shared" ref="R10:R73" si="11">M10/1000000</f>
        <v>11.687608716683185</v>
      </c>
      <c r="S10" s="6"/>
    </row>
    <row r="11" spans="1:19" x14ac:dyDescent="0.25">
      <c r="A11">
        <v>3</v>
      </c>
      <c r="B11" s="1">
        <f t="shared" ref="B11:B74" si="12">$B$9*A11</f>
        <v>300000000</v>
      </c>
      <c r="C11" s="1">
        <v>17530</v>
      </c>
      <c r="D11" s="1">
        <v>17600</v>
      </c>
      <c r="E11" s="1">
        <v>17650</v>
      </c>
      <c r="F11" s="6">
        <f t="shared" si="0"/>
        <v>34227039.361095265</v>
      </c>
      <c r="G11" s="6">
        <f t="shared" si="1"/>
        <v>34090909.090909086</v>
      </c>
      <c r="H11" s="6">
        <f t="shared" si="2"/>
        <v>33994334.27762039</v>
      </c>
      <c r="I11" s="6">
        <f t="shared" si="3"/>
        <v>11409013.120365089</v>
      </c>
      <c r="J11" s="6">
        <f t="shared" si="4"/>
        <v>11363636.363636361</v>
      </c>
      <c r="K11" s="6">
        <f t="shared" si="5"/>
        <v>11331444.759206796</v>
      </c>
      <c r="L11" s="6">
        <f t="shared" si="6"/>
        <v>35062826.150049552</v>
      </c>
      <c r="M11" s="6">
        <f t="shared" si="7"/>
        <v>11687608.716683185</v>
      </c>
      <c r="N11" s="6"/>
      <c r="O11" s="10">
        <f t="shared" si="8"/>
        <v>34.104094243208245</v>
      </c>
      <c r="P11" s="10">
        <f t="shared" si="9"/>
        <v>11.368031414402747</v>
      </c>
      <c r="Q11" s="10">
        <f t="shared" si="10"/>
        <v>35.062826150049553</v>
      </c>
      <c r="R11" s="10">
        <f t="shared" si="11"/>
        <v>11.687608716683185</v>
      </c>
      <c r="S11" s="6"/>
    </row>
    <row r="12" spans="1:19" x14ac:dyDescent="0.25">
      <c r="A12">
        <v>4</v>
      </c>
      <c r="B12" s="1">
        <f t="shared" si="12"/>
        <v>400000000</v>
      </c>
      <c r="C12" s="1">
        <v>17370</v>
      </c>
      <c r="D12" s="1">
        <v>18480</v>
      </c>
      <c r="E12" s="1">
        <v>17210</v>
      </c>
      <c r="F12" s="6">
        <f t="shared" si="0"/>
        <v>46056419.11341393</v>
      </c>
      <c r="G12" s="6">
        <f t="shared" si="1"/>
        <v>43290043.290043294</v>
      </c>
      <c r="H12" s="6">
        <f t="shared" si="2"/>
        <v>46484601.975595586</v>
      </c>
      <c r="I12" s="6">
        <f t="shared" si="3"/>
        <v>11514104.778353482</v>
      </c>
      <c r="J12" s="6">
        <f t="shared" si="4"/>
        <v>10822510.822510824</v>
      </c>
      <c r="K12" s="6">
        <f t="shared" si="5"/>
        <v>11621150.493898897</v>
      </c>
      <c r="L12" s="6">
        <f t="shared" si="6"/>
        <v>46750434.866732739</v>
      </c>
      <c r="M12" s="6">
        <f t="shared" si="7"/>
        <v>11687608.716683185</v>
      </c>
      <c r="N12" s="6"/>
      <c r="O12" s="10">
        <f t="shared" si="8"/>
        <v>45.277021459684278</v>
      </c>
      <c r="P12" s="10">
        <f t="shared" si="9"/>
        <v>11.319255364921069</v>
      </c>
      <c r="Q12" s="10">
        <f t="shared" si="10"/>
        <v>46.750434866732739</v>
      </c>
      <c r="R12" s="10">
        <f t="shared" si="11"/>
        <v>11.687608716683185</v>
      </c>
      <c r="S12" s="6"/>
    </row>
    <row r="13" spans="1:19" x14ac:dyDescent="0.25">
      <c r="A13">
        <v>5</v>
      </c>
      <c r="B13" s="1">
        <f t="shared" si="12"/>
        <v>500000000</v>
      </c>
      <c r="C13" s="1">
        <v>16780</v>
      </c>
      <c r="D13" s="1">
        <v>17080</v>
      </c>
      <c r="E13" s="1">
        <v>17950</v>
      </c>
      <c r="F13" s="6">
        <f t="shared" si="0"/>
        <v>59594755.661501788</v>
      </c>
      <c r="G13" s="6">
        <f t="shared" si="1"/>
        <v>58548009.367681503</v>
      </c>
      <c r="H13" s="6">
        <f t="shared" si="2"/>
        <v>55710306.406685241</v>
      </c>
      <c r="I13" s="6">
        <f t="shared" si="3"/>
        <v>11918951.132300358</v>
      </c>
      <c r="J13" s="6">
        <f t="shared" si="4"/>
        <v>11709601.8735363</v>
      </c>
      <c r="K13" s="6">
        <f t="shared" si="5"/>
        <v>11142061.281337049</v>
      </c>
      <c r="L13" s="6">
        <f t="shared" si="6"/>
        <v>58438043.583415926</v>
      </c>
      <c r="M13" s="6">
        <f t="shared" si="7"/>
        <v>11687608.716683185</v>
      </c>
      <c r="N13" s="6"/>
      <c r="O13" s="10">
        <f t="shared" si="8"/>
        <v>57.951023811956176</v>
      </c>
      <c r="P13" s="10">
        <f t="shared" si="9"/>
        <v>11.590204762391235</v>
      </c>
      <c r="Q13" s="10">
        <f t="shared" si="10"/>
        <v>58.438043583415926</v>
      </c>
      <c r="R13" s="10">
        <f t="shared" si="11"/>
        <v>11.687608716683185</v>
      </c>
      <c r="S13" s="6"/>
    </row>
    <row r="14" spans="1:19" x14ac:dyDescent="0.25">
      <c r="A14">
        <v>6</v>
      </c>
      <c r="B14" s="1">
        <f t="shared" si="12"/>
        <v>600000000</v>
      </c>
      <c r="C14" s="1">
        <v>17000</v>
      </c>
      <c r="D14" s="1">
        <v>17000</v>
      </c>
      <c r="E14" s="1">
        <v>16780</v>
      </c>
      <c r="F14" s="6">
        <f t="shared" si="0"/>
        <v>70588235.294117644</v>
      </c>
      <c r="G14" s="6">
        <f t="shared" si="1"/>
        <v>70588235.294117644</v>
      </c>
      <c r="H14" s="6">
        <f t="shared" si="2"/>
        <v>71513706.793802157</v>
      </c>
      <c r="I14" s="6">
        <f t="shared" si="3"/>
        <v>11764705.882352941</v>
      </c>
      <c r="J14" s="6">
        <f t="shared" si="4"/>
        <v>11764705.882352941</v>
      </c>
      <c r="K14" s="6">
        <f t="shared" si="5"/>
        <v>11918951.13230036</v>
      </c>
      <c r="L14" s="6">
        <f t="shared" si="6"/>
        <v>70125652.300099105</v>
      </c>
      <c r="M14" s="6">
        <f t="shared" si="7"/>
        <v>11687608.716683185</v>
      </c>
      <c r="N14" s="6"/>
      <c r="O14" s="10">
        <f t="shared" si="8"/>
        <v>70.896725794012482</v>
      </c>
      <c r="P14" s="10">
        <f t="shared" si="9"/>
        <v>11.816120965668746</v>
      </c>
      <c r="Q14" s="10">
        <f t="shared" si="10"/>
        <v>70.125652300099105</v>
      </c>
      <c r="R14" s="10">
        <f t="shared" si="11"/>
        <v>11.687608716683185</v>
      </c>
      <c r="S14" s="6"/>
    </row>
    <row r="15" spans="1:19" x14ac:dyDescent="0.25">
      <c r="A15">
        <v>7</v>
      </c>
      <c r="B15" s="1">
        <f t="shared" si="12"/>
        <v>700000000</v>
      </c>
      <c r="C15" s="1">
        <v>16980</v>
      </c>
      <c r="D15" s="1">
        <v>16960</v>
      </c>
      <c r="E15" s="1">
        <v>16750</v>
      </c>
      <c r="F15" s="6">
        <f t="shared" si="0"/>
        <v>82449941.107184917</v>
      </c>
      <c r="G15" s="6">
        <f t="shared" si="1"/>
        <v>82547169.811320752</v>
      </c>
      <c r="H15" s="6">
        <f t="shared" si="2"/>
        <v>83582089.552238807</v>
      </c>
      <c r="I15" s="6">
        <f t="shared" si="3"/>
        <v>11778563.015312131</v>
      </c>
      <c r="J15" s="6">
        <f t="shared" si="4"/>
        <v>11792452.830188679</v>
      </c>
      <c r="K15" s="6">
        <f t="shared" si="5"/>
        <v>11940298.507462686</v>
      </c>
      <c r="L15" s="6">
        <f t="shared" si="6"/>
        <v>81813261.016782299</v>
      </c>
      <c r="M15" s="6">
        <f t="shared" si="7"/>
        <v>11687608.716683185</v>
      </c>
      <c r="N15" s="6"/>
      <c r="O15" s="10">
        <f t="shared" si="8"/>
        <v>82.859733490248161</v>
      </c>
      <c r="P15" s="10">
        <f t="shared" si="9"/>
        <v>11.837104784321166</v>
      </c>
      <c r="Q15" s="10">
        <f t="shared" si="10"/>
        <v>81.813261016782292</v>
      </c>
      <c r="R15" s="10">
        <f t="shared" si="11"/>
        <v>11.687608716683185</v>
      </c>
      <c r="S15" s="6"/>
    </row>
    <row r="16" spans="1:19" x14ac:dyDescent="0.25">
      <c r="A16">
        <v>8</v>
      </c>
      <c r="B16" s="1">
        <f t="shared" si="12"/>
        <v>800000000</v>
      </c>
      <c r="C16" s="1">
        <v>17020</v>
      </c>
      <c r="D16" s="1">
        <v>16770</v>
      </c>
      <c r="E16" s="1">
        <v>16870</v>
      </c>
      <c r="F16" s="6">
        <f t="shared" si="0"/>
        <v>94007050.528789654</v>
      </c>
      <c r="G16" s="6">
        <f t="shared" si="1"/>
        <v>95408467.501490757</v>
      </c>
      <c r="H16" s="6">
        <f t="shared" si="2"/>
        <v>94842916.41967991</v>
      </c>
      <c r="I16" s="6">
        <f t="shared" si="3"/>
        <v>11750881.316098707</v>
      </c>
      <c r="J16" s="6">
        <f t="shared" si="4"/>
        <v>11926058.437686345</v>
      </c>
      <c r="K16" s="6">
        <f t="shared" si="5"/>
        <v>11855364.552459989</v>
      </c>
      <c r="L16" s="6">
        <f t="shared" si="6"/>
        <v>93500869.733465478</v>
      </c>
      <c r="M16" s="6">
        <f t="shared" si="7"/>
        <v>11687608.716683185</v>
      </c>
      <c r="N16" s="6"/>
      <c r="O16" s="10">
        <f t="shared" si="8"/>
        <v>94.752811483320116</v>
      </c>
      <c r="P16" s="10">
        <f t="shared" si="9"/>
        <v>11.844101435415014</v>
      </c>
      <c r="Q16" s="10">
        <f t="shared" si="10"/>
        <v>93.500869733465478</v>
      </c>
      <c r="R16" s="10">
        <f t="shared" si="11"/>
        <v>11.687608716683185</v>
      </c>
      <c r="S16" s="6"/>
    </row>
    <row r="17" spans="1:19" x14ac:dyDescent="0.25">
      <c r="A17">
        <v>9</v>
      </c>
      <c r="B17" s="1">
        <f t="shared" si="12"/>
        <v>900000000</v>
      </c>
      <c r="C17" s="1">
        <v>17190</v>
      </c>
      <c r="D17" s="1">
        <v>18300</v>
      </c>
      <c r="E17" s="1">
        <v>16750</v>
      </c>
      <c r="F17" s="6">
        <f t="shared" si="0"/>
        <v>104712041.88481677</v>
      </c>
      <c r="G17" s="6">
        <f t="shared" si="1"/>
        <v>98360655.737704918</v>
      </c>
      <c r="H17" s="6">
        <f t="shared" si="2"/>
        <v>107462686.56716418</v>
      </c>
      <c r="I17" s="6">
        <f t="shared" si="3"/>
        <v>11634671.320535196</v>
      </c>
      <c r="J17" s="6">
        <f t="shared" si="4"/>
        <v>10928961.74863388</v>
      </c>
      <c r="K17" s="6">
        <f t="shared" si="5"/>
        <v>11940298.507462688</v>
      </c>
      <c r="L17" s="6">
        <f t="shared" si="6"/>
        <v>105188478.45014866</v>
      </c>
      <c r="M17" s="6">
        <f t="shared" si="7"/>
        <v>11687608.716683185</v>
      </c>
      <c r="N17" s="6"/>
      <c r="O17" s="10">
        <f t="shared" si="8"/>
        <v>103.5117947298953</v>
      </c>
      <c r="P17" s="10">
        <f t="shared" si="9"/>
        <v>11.501310525543921</v>
      </c>
      <c r="Q17" s="10">
        <f t="shared" si="10"/>
        <v>105.18847845014865</v>
      </c>
      <c r="R17" s="10">
        <f t="shared" si="11"/>
        <v>11.687608716683185</v>
      </c>
      <c r="S17" s="6"/>
    </row>
    <row r="18" spans="1:19" x14ac:dyDescent="0.25">
      <c r="A18">
        <v>10</v>
      </c>
      <c r="B18" s="1">
        <f t="shared" si="12"/>
        <v>1000000000</v>
      </c>
      <c r="C18" s="1">
        <v>16700</v>
      </c>
      <c r="D18" s="1">
        <v>17320</v>
      </c>
      <c r="E18" s="1">
        <v>16910</v>
      </c>
      <c r="F18" s="6">
        <f t="shared" si="0"/>
        <v>119760479.04191618</v>
      </c>
      <c r="G18" s="6">
        <f t="shared" si="1"/>
        <v>115473441.10854504</v>
      </c>
      <c r="H18" s="6">
        <f t="shared" si="2"/>
        <v>118273211.11768185</v>
      </c>
      <c r="I18" s="6">
        <f t="shared" si="3"/>
        <v>11976047.904191617</v>
      </c>
      <c r="J18" s="6">
        <f t="shared" si="4"/>
        <v>11547344.110854503</v>
      </c>
      <c r="K18" s="6">
        <f t="shared" si="5"/>
        <v>11827321.111768184</v>
      </c>
      <c r="L18" s="6">
        <f t="shared" si="6"/>
        <v>116876087.16683185</v>
      </c>
      <c r="M18" s="6">
        <f t="shared" si="7"/>
        <v>11687608.716683185</v>
      </c>
      <c r="N18" s="6"/>
      <c r="O18" s="10">
        <f t="shared" si="8"/>
        <v>117.83571042271436</v>
      </c>
      <c r="P18" s="10">
        <f t="shared" si="9"/>
        <v>11.783571042271435</v>
      </c>
      <c r="Q18" s="10">
        <f t="shared" si="10"/>
        <v>116.87608716683185</v>
      </c>
      <c r="R18" s="10">
        <f t="shared" si="11"/>
        <v>11.687608716683185</v>
      </c>
      <c r="S18" s="6"/>
    </row>
    <row r="19" spans="1:19" x14ac:dyDescent="0.25">
      <c r="A19">
        <v>11</v>
      </c>
      <c r="B19" s="1">
        <f t="shared" si="12"/>
        <v>1100000000</v>
      </c>
      <c r="C19" s="1">
        <v>17910</v>
      </c>
      <c r="D19" s="1">
        <v>17040</v>
      </c>
      <c r="E19" s="1">
        <v>16740</v>
      </c>
      <c r="F19" s="6">
        <f t="shared" si="0"/>
        <v>122836404.24343942</v>
      </c>
      <c r="G19" s="6">
        <f t="shared" si="1"/>
        <v>129107981.22065729</v>
      </c>
      <c r="H19" s="6">
        <f t="shared" si="2"/>
        <v>131421744.32497011</v>
      </c>
      <c r="I19" s="6">
        <f t="shared" si="3"/>
        <v>11166945.840312675</v>
      </c>
      <c r="J19" s="6">
        <f t="shared" si="4"/>
        <v>11737089.201877935</v>
      </c>
      <c r="K19" s="6">
        <f t="shared" si="5"/>
        <v>11947431.30227001</v>
      </c>
      <c r="L19" s="6">
        <f t="shared" si="6"/>
        <v>128563695.88351503</v>
      </c>
      <c r="M19" s="6">
        <f t="shared" si="7"/>
        <v>11687608.716683185</v>
      </c>
      <c r="N19" s="6"/>
      <c r="O19" s="10">
        <f t="shared" si="8"/>
        <v>127.78870992968895</v>
      </c>
      <c r="P19" s="10">
        <f t="shared" si="9"/>
        <v>11.617155448153541</v>
      </c>
      <c r="Q19" s="10">
        <f t="shared" si="10"/>
        <v>128.56369588351504</v>
      </c>
      <c r="R19" s="10">
        <f t="shared" si="11"/>
        <v>11.687608716683185</v>
      </c>
      <c r="S19" s="6"/>
    </row>
    <row r="20" spans="1:19" x14ac:dyDescent="0.25">
      <c r="A20">
        <v>12</v>
      </c>
      <c r="B20" s="1">
        <f t="shared" si="12"/>
        <v>1200000000</v>
      </c>
      <c r="C20" s="1">
        <v>18010</v>
      </c>
      <c r="D20" s="1">
        <v>17060</v>
      </c>
      <c r="E20" s="1">
        <v>18720</v>
      </c>
      <c r="F20" s="6">
        <f t="shared" si="0"/>
        <v>133259300.38867298</v>
      </c>
      <c r="G20" s="6">
        <f t="shared" si="1"/>
        <v>140679953.1066823</v>
      </c>
      <c r="H20" s="6">
        <f t="shared" si="2"/>
        <v>128205128.20512821</v>
      </c>
      <c r="I20" s="6">
        <f t="shared" si="3"/>
        <v>11104941.699056081</v>
      </c>
      <c r="J20" s="6">
        <f t="shared" si="4"/>
        <v>11723329.425556859</v>
      </c>
      <c r="K20" s="6">
        <f t="shared" si="5"/>
        <v>10683760.683760684</v>
      </c>
      <c r="L20" s="6">
        <f t="shared" si="6"/>
        <v>140251304.60019821</v>
      </c>
      <c r="M20" s="6">
        <f t="shared" si="7"/>
        <v>11687608.716683185</v>
      </c>
      <c r="N20" s="6"/>
      <c r="O20" s="10">
        <f t="shared" si="8"/>
        <v>134.04812723349448</v>
      </c>
      <c r="P20" s="10">
        <f t="shared" si="9"/>
        <v>11.170677269457874</v>
      </c>
      <c r="Q20" s="10">
        <f t="shared" si="10"/>
        <v>140.25130460019821</v>
      </c>
      <c r="R20" s="10">
        <f t="shared" si="11"/>
        <v>11.687608716683185</v>
      </c>
      <c r="S20" s="6"/>
    </row>
    <row r="21" spans="1:19" x14ac:dyDescent="0.25">
      <c r="A21">
        <v>13</v>
      </c>
      <c r="B21" s="1">
        <f t="shared" si="12"/>
        <v>1300000000</v>
      </c>
      <c r="C21" s="1">
        <v>17000</v>
      </c>
      <c r="D21" s="1">
        <v>17160</v>
      </c>
      <c r="E21" s="1">
        <v>16950</v>
      </c>
      <c r="F21" s="6">
        <f t="shared" si="0"/>
        <v>152941176.47058824</v>
      </c>
      <c r="G21" s="6">
        <f t="shared" si="1"/>
        <v>151515151.51515153</v>
      </c>
      <c r="H21" s="6">
        <f t="shared" si="2"/>
        <v>153392330.38348082</v>
      </c>
      <c r="I21" s="6">
        <f t="shared" si="3"/>
        <v>11764705.882352941</v>
      </c>
      <c r="J21" s="6">
        <f t="shared" si="4"/>
        <v>11655011.655011656</v>
      </c>
      <c r="K21" s="6">
        <f t="shared" si="5"/>
        <v>11799410.029498525</v>
      </c>
      <c r="L21" s="6">
        <f t="shared" si="6"/>
        <v>151938913.31688139</v>
      </c>
      <c r="M21" s="6">
        <f t="shared" si="7"/>
        <v>11687608.716683183</v>
      </c>
      <c r="N21" s="6"/>
      <c r="O21" s="10">
        <f t="shared" si="8"/>
        <v>152.61621945640687</v>
      </c>
      <c r="P21" s="10">
        <f t="shared" si="9"/>
        <v>11.739709188954373</v>
      </c>
      <c r="Q21" s="10">
        <f t="shared" si="10"/>
        <v>151.93891331688138</v>
      </c>
      <c r="R21" s="10">
        <f t="shared" si="11"/>
        <v>11.687608716683183</v>
      </c>
      <c r="S21" s="6"/>
    </row>
    <row r="22" spans="1:19" x14ac:dyDescent="0.25">
      <c r="A22">
        <v>14</v>
      </c>
      <c r="B22" s="1">
        <f t="shared" si="12"/>
        <v>1400000000</v>
      </c>
      <c r="C22" s="1">
        <v>18770</v>
      </c>
      <c r="D22" s="1">
        <v>16660</v>
      </c>
      <c r="E22" s="1">
        <v>16920</v>
      </c>
      <c r="F22" s="6">
        <f t="shared" si="0"/>
        <v>149174214.17155036</v>
      </c>
      <c r="G22" s="6">
        <f t="shared" si="1"/>
        <v>168067226.89075631</v>
      </c>
      <c r="H22" s="6">
        <f t="shared" si="2"/>
        <v>165484633.56973997</v>
      </c>
      <c r="I22" s="6">
        <f t="shared" si="3"/>
        <v>10655301.012253597</v>
      </c>
      <c r="J22" s="6">
        <f t="shared" si="4"/>
        <v>12004801.920768308</v>
      </c>
      <c r="K22" s="6">
        <f t="shared" si="5"/>
        <v>11820330.969267141</v>
      </c>
      <c r="L22" s="6">
        <f t="shared" si="6"/>
        <v>163626522.0335646</v>
      </c>
      <c r="M22" s="6">
        <f t="shared" si="7"/>
        <v>11687608.716683185</v>
      </c>
      <c r="N22" s="6"/>
      <c r="O22" s="10">
        <f t="shared" si="8"/>
        <v>160.90869154401554</v>
      </c>
      <c r="P22" s="10">
        <f t="shared" si="9"/>
        <v>11.493477967429683</v>
      </c>
      <c r="Q22" s="10">
        <f t="shared" si="10"/>
        <v>163.62652203356458</v>
      </c>
      <c r="R22" s="10">
        <f t="shared" si="11"/>
        <v>11.687608716683185</v>
      </c>
      <c r="S22" s="6"/>
    </row>
    <row r="23" spans="1:19" x14ac:dyDescent="0.25">
      <c r="A23">
        <v>15</v>
      </c>
      <c r="B23" s="1">
        <f t="shared" si="12"/>
        <v>1500000000</v>
      </c>
      <c r="C23" s="1">
        <v>19190</v>
      </c>
      <c r="D23" s="1">
        <v>18860</v>
      </c>
      <c r="E23" s="1">
        <v>18250</v>
      </c>
      <c r="F23" s="6">
        <f t="shared" si="0"/>
        <v>156331422.61594582</v>
      </c>
      <c r="G23" s="6">
        <f t="shared" si="1"/>
        <v>159066808.05938494</v>
      </c>
      <c r="H23" s="6">
        <f t="shared" si="2"/>
        <v>164383561.64383563</v>
      </c>
      <c r="I23" s="6">
        <f t="shared" si="3"/>
        <v>10422094.841063054</v>
      </c>
      <c r="J23" s="6">
        <f t="shared" si="4"/>
        <v>10604453.870625664</v>
      </c>
      <c r="K23" s="6">
        <f t="shared" si="5"/>
        <v>10958904.109589042</v>
      </c>
      <c r="L23" s="6">
        <f t="shared" si="6"/>
        <v>175314130.75024778</v>
      </c>
      <c r="M23" s="6">
        <f t="shared" si="7"/>
        <v>11687608.716683185</v>
      </c>
      <c r="N23" s="6"/>
      <c r="O23" s="10">
        <f t="shared" si="8"/>
        <v>159.9272641063888</v>
      </c>
      <c r="P23" s="10">
        <f t="shared" si="9"/>
        <v>10.661817607092587</v>
      </c>
      <c r="Q23" s="10">
        <f t="shared" si="10"/>
        <v>175.31413075024778</v>
      </c>
      <c r="R23" s="10">
        <f t="shared" si="11"/>
        <v>11.687608716683185</v>
      </c>
      <c r="S23" s="6"/>
    </row>
    <row r="24" spans="1:19" x14ac:dyDescent="0.25">
      <c r="A24">
        <v>16</v>
      </c>
      <c r="B24" s="1">
        <f t="shared" si="12"/>
        <v>1600000000</v>
      </c>
      <c r="C24" s="1">
        <v>18150</v>
      </c>
      <c r="D24" s="1">
        <v>18750</v>
      </c>
      <c r="E24" s="1">
        <v>19050</v>
      </c>
      <c r="F24" s="6">
        <f t="shared" si="0"/>
        <v>176308539.94490358</v>
      </c>
      <c r="G24" s="6">
        <f t="shared" si="1"/>
        <v>170666666.66666666</v>
      </c>
      <c r="H24" s="6">
        <f t="shared" si="2"/>
        <v>167979002.62467191</v>
      </c>
      <c r="I24" s="6">
        <f t="shared" si="3"/>
        <v>11019283.746556474</v>
      </c>
      <c r="J24" s="6">
        <f t="shared" si="4"/>
        <v>10666666.666666666</v>
      </c>
      <c r="K24" s="6">
        <f t="shared" si="5"/>
        <v>10498687.664041994</v>
      </c>
      <c r="L24" s="6">
        <f t="shared" si="6"/>
        <v>187001739.46693096</v>
      </c>
      <c r="M24" s="6">
        <f t="shared" si="7"/>
        <v>11687608.716683185</v>
      </c>
      <c r="N24" s="6"/>
      <c r="O24" s="10">
        <f t="shared" si="8"/>
        <v>171.65140307874739</v>
      </c>
      <c r="P24" s="10">
        <f t="shared" si="9"/>
        <v>10.728212692421712</v>
      </c>
      <c r="Q24" s="10">
        <f t="shared" si="10"/>
        <v>187.00173946693096</v>
      </c>
      <c r="R24" s="10">
        <f t="shared" si="11"/>
        <v>11.687608716683185</v>
      </c>
      <c r="S24" s="6"/>
    </row>
    <row r="25" spans="1:19" x14ac:dyDescent="0.25">
      <c r="A25">
        <v>17</v>
      </c>
      <c r="B25" s="1">
        <f t="shared" si="12"/>
        <v>1700000000</v>
      </c>
      <c r="C25" s="1">
        <v>17280</v>
      </c>
      <c r="D25" s="1">
        <v>18280</v>
      </c>
      <c r="E25" s="1">
        <v>16900</v>
      </c>
      <c r="F25" s="6">
        <f t="shared" si="0"/>
        <v>196759259.25925928</v>
      </c>
      <c r="G25" s="6">
        <f t="shared" si="1"/>
        <v>185995623.63238513</v>
      </c>
      <c r="H25" s="6">
        <f t="shared" si="2"/>
        <v>201183431.95266271</v>
      </c>
      <c r="I25" s="6">
        <f t="shared" si="3"/>
        <v>11574074.074074075</v>
      </c>
      <c r="J25" s="6">
        <f t="shared" si="4"/>
        <v>10940919.037199125</v>
      </c>
      <c r="K25" s="6">
        <f t="shared" si="5"/>
        <v>11834319.526627218</v>
      </c>
      <c r="L25" s="6">
        <f t="shared" si="6"/>
        <v>198689348.18361413</v>
      </c>
      <c r="M25" s="6">
        <f t="shared" si="7"/>
        <v>11687608.716683185</v>
      </c>
      <c r="N25" s="6"/>
      <c r="O25" s="10">
        <f t="shared" si="8"/>
        <v>194.64610494810239</v>
      </c>
      <c r="P25" s="10">
        <f t="shared" si="9"/>
        <v>11.449770879300139</v>
      </c>
      <c r="Q25" s="10">
        <f t="shared" si="10"/>
        <v>198.68934818361413</v>
      </c>
      <c r="R25" s="10">
        <f t="shared" si="11"/>
        <v>11.687608716683185</v>
      </c>
      <c r="S25" s="6"/>
    </row>
    <row r="26" spans="1:19" x14ac:dyDescent="0.25">
      <c r="A26">
        <v>18</v>
      </c>
      <c r="B26" s="1">
        <f t="shared" si="12"/>
        <v>1800000000</v>
      </c>
      <c r="C26" s="1">
        <v>17130</v>
      </c>
      <c r="D26" s="1">
        <v>19380</v>
      </c>
      <c r="E26" s="1">
        <v>17220</v>
      </c>
      <c r="F26" s="6">
        <f t="shared" si="0"/>
        <v>210157618.21366027</v>
      </c>
      <c r="G26" s="6">
        <f t="shared" si="1"/>
        <v>185758513.93188852</v>
      </c>
      <c r="H26" s="6">
        <f t="shared" si="2"/>
        <v>209059233.44947734</v>
      </c>
      <c r="I26" s="6">
        <f t="shared" si="3"/>
        <v>11675423.234092237</v>
      </c>
      <c r="J26" s="6">
        <f t="shared" si="4"/>
        <v>10319917.440660473</v>
      </c>
      <c r="K26" s="6">
        <f t="shared" si="5"/>
        <v>11614401.858304298</v>
      </c>
      <c r="L26" s="6">
        <f t="shared" si="6"/>
        <v>210376956.90029731</v>
      </c>
      <c r="M26" s="6">
        <f t="shared" si="7"/>
        <v>11687608.716683185</v>
      </c>
      <c r="N26" s="6"/>
      <c r="O26" s="10">
        <f t="shared" si="8"/>
        <v>201.65845519834207</v>
      </c>
      <c r="P26" s="10">
        <f t="shared" si="9"/>
        <v>11.203247511019004</v>
      </c>
      <c r="Q26" s="10">
        <f t="shared" si="10"/>
        <v>210.3769569002973</v>
      </c>
      <c r="R26" s="10">
        <f t="shared" si="11"/>
        <v>11.687608716683185</v>
      </c>
      <c r="S26" s="6"/>
    </row>
    <row r="27" spans="1:19" x14ac:dyDescent="0.25">
      <c r="A27">
        <v>19</v>
      </c>
      <c r="B27" s="1">
        <f t="shared" si="12"/>
        <v>1900000000</v>
      </c>
      <c r="C27" s="1">
        <v>17810</v>
      </c>
      <c r="D27" s="1">
        <v>18960</v>
      </c>
      <c r="E27" s="1">
        <v>20020</v>
      </c>
      <c r="F27" s="6">
        <f t="shared" si="0"/>
        <v>213363279.05670974</v>
      </c>
      <c r="G27" s="6">
        <f t="shared" si="1"/>
        <v>200421940.92827004</v>
      </c>
      <c r="H27" s="6">
        <f t="shared" si="2"/>
        <v>189810189.81018978</v>
      </c>
      <c r="I27" s="6">
        <f t="shared" si="3"/>
        <v>11229646.266142618</v>
      </c>
      <c r="J27" s="6">
        <f t="shared" si="4"/>
        <v>10548523.206751054</v>
      </c>
      <c r="K27" s="6">
        <f t="shared" si="5"/>
        <v>9990009.9900099877</v>
      </c>
      <c r="L27" s="6">
        <f t="shared" si="6"/>
        <v>222064565.61698052</v>
      </c>
      <c r="M27" s="6">
        <f t="shared" si="7"/>
        <v>11687608.716683185</v>
      </c>
      <c r="N27" s="6"/>
      <c r="O27" s="10">
        <f t="shared" si="8"/>
        <v>201.1984699317232</v>
      </c>
      <c r="P27" s="10">
        <f t="shared" si="9"/>
        <v>10.589393154301218</v>
      </c>
      <c r="Q27" s="10">
        <f t="shared" si="10"/>
        <v>222.06456561698053</v>
      </c>
      <c r="R27" s="10">
        <f t="shared" si="11"/>
        <v>11.687608716683185</v>
      </c>
      <c r="S27" s="6"/>
    </row>
    <row r="28" spans="1:19" x14ac:dyDescent="0.25">
      <c r="A28">
        <v>20</v>
      </c>
      <c r="B28" s="1">
        <f t="shared" si="12"/>
        <v>2000000000</v>
      </c>
      <c r="C28" s="1">
        <v>19800</v>
      </c>
      <c r="D28" s="1">
        <v>19950</v>
      </c>
      <c r="E28" s="1">
        <v>21280</v>
      </c>
      <c r="F28" s="6">
        <f t="shared" si="0"/>
        <v>202020202.02020201</v>
      </c>
      <c r="G28" s="6">
        <f t="shared" si="1"/>
        <v>200501253.13283208</v>
      </c>
      <c r="H28" s="6">
        <f t="shared" si="2"/>
        <v>187969924.81203008</v>
      </c>
      <c r="I28" s="6">
        <f t="shared" si="3"/>
        <v>10101010.101010101</v>
      </c>
      <c r="J28" s="6">
        <f t="shared" si="4"/>
        <v>10025062.656641604</v>
      </c>
      <c r="K28" s="6">
        <f t="shared" si="5"/>
        <v>9398496.2406015042</v>
      </c>
      <c r="L28" s="6">
        <f t="shared" si="6"/>
        <v>233752174.3336637</v>
      </c>
      <c r="M28" s="6">
        <f t="shared" si="7"/>
        <v>11687608.716683185</v>
      </c>
      <c r="N28" s="6"/>
      <c r="O28" s="10">
        <f t="shared" si="8"/>
        <v>196.8304599883547</v>
      </c>
      <c r="P28" s="10">
        <f t="shared" si="9"/>
        <v>9.8415229994177373</v>
      </c>
      <c r="Q28" s="10">
        <f t="shared" si="10"/>
        <v>233.7521743336637</v>
      </c>
      <c r="R28" s="10">
        <f t="shared" si="11"/>
        <v>11.687608716683185</v>
      </c>
      <c r="S28" s="6"/>
    </row>
    <row r="29" spans="1:19" x14ac:dyDescent="0.25">
      <c r="A29">
        <v>21</v>
      </c>
      <c r="B29" s="1">
        <f t="shared" si="12"/>
        <v>2100000000</v>
      </c>
      <c r="C29" s="1">
        <v>17220</v>
      </c>
      <c r="D29" s="1">
        <v>19710</v>
      </c>
      <c r="E29" s="1">
        <v>16920</v>
      </c>
      <c r="F29" s="6">
        <f t="shared" si="0"/>
        <v>243902439.02439025</v>
      </c>
      <c r="G29" s="6">
        <f t="shared" si="1"/>
        <v>213089802.13089803</v>
      </c>
      <c r="H29" s="6">
        <f t="shared" si="2"/>
        <v>248226950.35460994</v>
      </c>
      <c r="I29" s="6">
        <f t="shared" si="3"/>
        <v>11614401.858304298</v>
      </c>
      <c r="J29" s="6">
        <f t="shared" si="4"/>
        <v>10147133.434804669</v>
      </c>
      <c r="K29" s="6">
        <f t="shared" si="5"/>
        <v>11820330.969267139</v>
      </c>
      <c r="L29" s="6">
        <f t="shared" si="6"/>
        <v>245439783.05034688</v>
      </c>
      <c r="M29" s="6">
        <f t="shared" si="7"/>
        <v>11687608.716683185</v>
      </c>
      <c r="N29" s="6"/>
      <c r="O29" s="10">
        <f t="shared" si="8"/>
        <v>235.07306383663274</v>
      </c>
      <c r="P29" s="10">
        <f t="shared" si="9"/>
        <v>11.193955420792035</v>
      </c>
      <c r="Q29" s="10">
        <f t="shared" si="10"/>
        <v>245.43978305034688</v>
      </c>
      <c r="R29" s="10">
        <f t="shared" si="11"/>
        <v>11.687608716683185</v>
      </c>
      <c r="S29" s="6"/>
    </row>
    <row r="30" spans="1:19" x14ac:dyDescent="0.25">
      <c r="A30">
        <v>22</v>
      </c>
      <c r="B30" s="1">
        <f t="shared" si="12"/>
        <v>2200000000</v>
      </c>
      <c r="C30" s="1">
        <v>21860</v>
      </c>
      <c r="D30" s="1">
        <v>19200</v>
      </c>
      <c r="E30" s="1">
        <v>20170</v>
      </c>
      <c r="F30" s="6">
        <f t="shared" si="0"/>
        <v>201280878.31655991</v>
      </c>
      <c r="G30" s="6">
        <f t="shared" si="1"/>
        <v>229166666.66666666</v>
      </c>
      <c r="H30" s="6">
        <f t="shared" si="2"/>
        <v>218145761.03123453</v>
      </c>
      <c r="I30" s="6">
        <f t="shared" si="3"/>
        <v>9149130.8325709049</v>
      </c>
      <c r="J30" s="6">
        <f t="shared" si="4"/>
        <v>10416666.666666666</v>
      </c>
      <c r="K30" s="6">
        <f t="shared" si="5"/>
        <v>9915716.4105106611</v>
      </c>
      <c r="L30" s="6">
        <f t="shared" si="6"/>
        <v>257127391.76703006</v>
      </c>
      <c r="M30" s="6">
        <f t="shared" si="7"/>
        <v>11687608.716683185</v>
      </c>
      <c r="N30" s="6"/>
      <c r="O30" s="10">
        <f t="shared" si="8"/>
        <v>216.19776867148701</v>
      </c>
      <c r="P30" s="10">
        <f t="shared" si="9"/>
        <v>9.8271713032494112</v>
      </c>
      <c r="Q30" s="10">
        <f t="shared" si="10"/>
        <v>257.12739176703008</v>
      </c>
      <c r="R30" s="10">
        <f t="shared" si="11"/>
        <v>11.687608716683185</v>
      </c>
      <c r="S30" s="6"/>
    </row>
    <row r="31" spans="1:19" x14ac:dyDescent="0.25">
      <c r="A31">
        <v>23</v>
      </c>
      <c r="B31" s="1">
        <f t="shared" si="12"/>
        <v>2300000000</v>
      </c>
      <c r="C31" s="1">
        <v>20750</v>
      </c>
      <c r="D31" s="1">
        <v>17330</v>
      </c>
      <c r="E31" s="1">
        <v>20930</v>
      </c>
      <c r="F31" s="6">
        <f t="shared" si="0"/>
        <v>221686746.98795182</v>
      </c>
      <c r="G31" s="6">
        <f t="shared" si="1"/>
        <v>265435660.70398152</v>
      </c>
      <c r="H31" s="6">
        <f t="shared" si="2"/>
        <v>219780219.78021976</v>
      </c>
      <c r="I31" s="6">
        <f t="shared" si="3"/>
        <v>9638554.2168674711</v>
      </c>
      <c r="J31" s="6">
        <f t="shared" si="4"/>
        <v>11540680.900173109</v>
      </c>
      <c r="K31" s="6">
        <f t="shared" si="5"/>
        <v>9555661.7295747716</v>
      </c>
      <c r="L31" s="6">
        <f t="shared" si="6"/>
        <v>268815000.48371327</v>
      </c>
      <c r="M31" s="6">
        <f t="shared" si="7"/>
        <v>11687608.716683185</v>
      </c>
      <c r="N31" s="6"/>
      <c r="O31" s="10">
        <f t="shared" si="8"/>
        <v>235.63420915738436</v>
      </c>
      <c r="P31" s="10">
        <f t="shared" si="9"/>
        <v>10.244965615538449</v>
      </c>
      <c r="Q31" s="10">
        <f t="shared" si="10"/>
        <v>268.81500048371328</v>
      </c>
      <c r="R31" s="10">
        <f t="shared" si="11"/>
        <v>11.687608716683185</v>
      </c>
      <c r="S31" s="6"/>
    </row>
    <row r="32" spans="1:19" x14ac:dyDescent="0.25">
      <c r="A32">
        <v>24</v>
      </c>
      <c r="B32" s="1">
        <f t="shared" si="12"/>
        <v>2400000000</v>
      </c>
      <c r="C32" s="1">
        <v>21290</v>
      </c>
      <c r="D32" s="1">
        <v>20350</v>
      </c>
      <c r="E32" s="1">
        <v>17740</v>
      </c>
      <c r="F32" s="6">
        <f t="shared" si="0"/>
        <v>225457961.48426491</v>
      </c>
      <c r="G32" s="6">
        <f t="shared" si="1"/>
        <v>235872235.87223586</v>
      </c>
      <c r="H32" s="6">
        <f t="shared" si="2"/>
        <v>270574971.81510711</v>
      </c>
      <c r="I32" s="6">
        <f t="shared" si="3"/>
        <v>9394081.7285110373</v>
      </c>
      <c r="J32" s="6">
        <f t="shared" si="4"/>
        <v>9828009.8280098271</v>
      </c>
      <c r="K32" s="6">
        <f t="shared" si="5"/>
        <v>11273957.158962796</v>
      </c>
      <c r="L32" s="6">
        <f t="shared" si="6"/>
        <v>280502609.20039642</v>
      </c>
      <c r="M32" s="6">
        <f t="shared" si="7"/>
        <v>11687608.716683185</v>
      </c>
      <c r="N32" s="6"/>
      <c r="O32" s="10">
        <f t="shared" si="8"/>
        <v>243.96838972386931</v>
      </c>
      <c r="P32" s="10">
        <f t="shared" si="9"/>
        <v>10.165349571827887</v>
      </c>
      <c r="Q32" s="10">
        <f t="shared" si="10"/>
        <v>280.50260920039642</v>
      </c>
      <c r="R32" s="10">
        <f t="shared" si="11"/>
        <v>11.687608716683185</v>
      </c>
      <c r="S32" s="6"/>
    </row>
    <row r="33" spans="1:19" x14ac:dyDescent="0.25">
      <c r="A33">
        <v>25</v>
      </c>
      <c r="B33" s="1">
        <f t="shared" si="12"/>
        <v>2500000000</v>
      </c>
      <c r="C33" s="1">
        <v>20760</v>
      </c>
      <c r="D33" s="1">
        <v>20600</v>
      </c>
      <c r="E33" s="1">
        <v>22140</v>
      </c>
      <c r="F33" s="6">
        <f t="shared" si="0"/>
        <v>240847784.20038536</v>
      </c>
      <c r="G33" s="6">
        <f t="shared" si="1"/>
        <v>242718446.60194173</v>
      </c>
      <c r="H33" s="6">
        <f t="shared" si="2"/>
        <v>225835591.68925023</v>
      </c>
      <c r="I33" s="6">
        <f t="shared" si="3"/>
        <v>9633911.3680154141</v>
      </c>
      <c r="J33" s="6">
        <f t="shared" si="4"/>
        <v>9708737.8640776686</v>
      </c>
      <c r="K33" s="6">
        <f t="shared" si="5"/>
        <v>9033423.6675700098</v>
      </c>
      <c r="L33" s="6">
        <f t="shared" si="6"/>
        <v>292190217.91707963</v>
      </c>
      <c r="M33" s="6">
        <f t="shared" si="7"/>
        <v>11687608.716683185</v>
      </c>
      <c r="N33" s="6"/>
      <c r="O33" s="10">
        <f t="shared" si="8"/>
        <v>236.46727416385912</v>
      </c>
      <c r="P33" s="10">
        <f t="shared" si="9"/>
        <v>9.4586909665543644</v>
      </c>
      <c r="Q33" s="10">
        <f t="shared" si="10"/>
        <v>292.19021791707962</v>
      </c>
      <c r="R33" s="10">
        <f t="shared" si="11"/>
        <v>11.687608716683185</v>
      </c>
      <c r="S33" s="6"/>
    </row>
    <row r="34" spans="1:19" x14ac:dyDescent="0.25">
      <c r="A34">
        <v>26</v>
      </c>
      <c r="B34" s="1">
        <f t="shared" si="12"/>
        <v>2600000000</v>
      </c>
      <c r="C34" s="1">
        <v>17980</v>
      </c>
      <c r="D34" s="1">
        <v>21690</v>
      </c>
      <c r="E34" s="1">
        <v>21990</v>
      </c>
      <c r="F34" s="6">
        <f t="shared" si="0"/>
        <v>289210233.59288102</v>
      </c>
      <c r="G34" s="6">
        <f t="shared" si="1"/>
        <v>239741816.50530198</v>
      </c>
      <c r="H34" s="6">
        <f t="shared" si="2"/>
        <v>236471123.23783538</v>
      </c>
      <c r="I34" s="6">
        <f t="shared" si="3"/>
        <v>11123470.522803117</v>
      </c>
      <c r="J34" s="6">
        <f t="shared" si="4"/>
        <v>9220839.0963577684</v>
      </c>
      <c r="K34" s="6">
        <f t="shared" si="5"/>
        <v>9095043.2014552075</v>
      </c>
      <c r="L34" s="6">
        <f t="shared" si="6"/>
        <v>303877826.63376278</v>
      </c>
      <c r="M34" s="6">
        <f t="shared" si="7"/>
        <v>11687608.716683183</v>
      </c>
      <c r="N34" s="6"/>
      <c r="O34" s="10">
        <f t="shared" si="8"/>
        <v>255.1410577786728</v>
      </c>
      <c r="P34" s="10">
        <f t="shared" si="9"/>
        <v>9.8131176068720301</v>
      </c>
      <c r="Q34" s="10">
        <f t="shared" si="10"/>
        <v>303.87782663376277</v>
      </c>
      <c r="R34" s="10">
        <f t="shared" si="11"/>
        <v>11.687608716683183</v>
      </c>
      <c r="S34" s="6"/>
    </row>
    <row r="35" spans="1:19" x14ac:dyDescent="0.25">
      <c r="A35">
        <v>27</v>
      </c>
      <c r="B35" s="1">
        <f t="shared" si="12"/>
        <v>2700000000</v>
      </c>
      <c r="C35" s="1">
        <v>21020</v>
      </c>
      <c r="D35" s="1">
        <v>22430</v>
      </c>
      <c r="E35" s="1">
        <v>21890</v>
      </c>
      <c r="F35" s="6">
        <f t="shared" si="0"/>
        <v>256898192.19790676</v>
      </c>
      <c r="G35" s="6">
        <f t="shared" si="1"/>
        <v>240748996.87917966</v>
      </c>
      <c r="H35" s="6">
        <f t="shared" si="2"/>
        <v>246687985.38145271</v>
      </c>
      <c r="I35" s="6">
        <f t="shared" si="3"/>
        <v>9514747.8591817319</v>
      </c>
      <c r="J35" s="6">
        <f t="shared" si="4"/>
        <v>8916629.5140436906</v>
      </c>
      <c r="K35" s="6">
        <f t="shared" si="5"/>
        <v>9136592.0511649158</v>
      </c>
      <c r="L35" s="6">
        <f t="shared" si="6"/>
        <v>315565435.35044599</v>
      </c>
      <c r="M35" s="6">
        <f t="shared" si="7"/>
        <v>11687608.716683185</v>
      </c>
      <c r="N35" s="6"/>
      <c r="O35" s="10">
        <f t="shared" si="8"/>
        <v>248.11172481951306</v>
      </c>
      <c r="P35" s="10">
        <f t="shared" si="9"/>
        <v>9.1893231414634453</v>
      </c>
      <c r="Q35" s="10">
        <f t="shared" si="10"/>
        <v>315.56543535044597</v>
      </c>
      <c r="R35" s="10">
        <f t="shared" si="11"/>
        <v>11.687608716683185</v>
      </c>
      <c r="S35" s="6"/>
    </row>
    <row r="36" spans="1:19" x14ac:dyDescent="0.25">
      <c r="A36">
        <v>28</v>
      </c>
      <c r="B36" s="1">
        <f t="shared" si="12"/>
        <v>2800000000</v>
      </c>
      <c r="C36" s="1">
        <v>20770</v>
      </c>
      <c r="D36" s="1">
        <v>21380</v>
      </c>
      <c r="E36" s="1">
        <v>21060</v>
      </c>
      <c r="F36" s="6">
        <f t="shared" si="0"/>
        <v>269619643.71689939</v>
      </c>
      <c r="G36" s="6">
        <f t="shared" si="1"/>
        <v>261927034.61178672</v>
      </c>
      <c r="H36" s="6">
        <f t="shared" si="2"/>
        <v>265906932.57359922</v>
      </c>
      <c r="I36" s="6">
        <f t="shared" si="3"/>
        <v>9629272.9898892641</v>
      </c>
      <c r="J36" s="6">
        <f t="shared" si="4"/>
        <v>9354536.9504209552</v>
      </c>
      <c r="K36" s="6">
        <f t="shared" si="5"/>
        <v>9496676.1633428298</v>
      </c>
      <c r="L36" s="6">
        <f t="shared" si="6"/>
        <v>327253044.06712919</v>
      </c>
      <c r="M36" s="6">
        <f t="shared" si="7"/>
        <v>11687608.716683185</v>
      </c>
      <c r="N36" s="6"/>
      <c r="O36" s="10">
        <f t="shared" si="8"/>
        <v>265.8178703007618</v>
      </c>
      <c r="P36" s="10">
        <f t="shared" si="9"/>
        <v>9.4934953678843499</v>
      </c>
      <c r="Q36" s="10">
        <f t="shared" si="10"/>
        <v>327.25304406712917</v>
      </c>
      <c r="R36" s="10">
        <f t="shared" si="11"/>
        <v>11.687608716683185</v>
      </c>
      <c r="S36" s="6"/>
    </row>
    <row r="37" spans="1:19" x14ac:dyDescent="0.25">
      <c r="A37">
        <v>29</v>
      </c>
      <c r="B37" s="1">
        <f t="shared" si="12"/>
        <v>2900000000</v>
      </c>
      <c r="C37" s="1">
        <v>22520</v>
      </c>
      <c r="D37" s="1">
        <v>25980</v>
      </c>
      <c r="E37" s="1">
        <v>21760</v>
      </c>
      <c r="F37" s="6">
        <f t="shared" si="0"/>
        <v>257548845.47069272</v>
      </c>
      <c r="G37" s="6">
        <f t="shared" si="1"/>
        <v>223248652.80985373</v>
      </c>
      <c r="H37" s="6">
        <f t="shared" si="2"/>
        <v>266544117.64705878</v>
      </c>
      <c r="I37" s="6">
        <f t="shared" si="3"/>
        <v>8880994.6714031976</v>
      </c>
      <c r="J37" s="6">
        <f t="shared" si="4"/>
        <v>7698229.4072363358</v>
      </c>
      <c r="K37" s="6">
        <f t="shared" si="5"/>
        <v>9191176.4705882333</v>
      </c>
      <c r="L37" s="6">
        <f t="shared" si="6"/>
        <v>338940652.78381234</v>
      </c>
      <c r="M37" s="6">
        <f t="shared" si="7"/>
        <v>11687608.716683185</v>
      </c>
      <c r="N37" s="6"/>
      <c r="O37" s="10">
        <f t="shared" si="8"/>
        <v>249.11387197586836</v>
      </c>
      <c r="P37" s="10">
        <f t="shared" si="9"/>
        <v>8.5901335164092547</v>
      </c>
      <c r="Q37" s="10">
        <f t="shared" si="10"/>
        <v>338.94065278381237</v>
      </c>
      <c r="R37" s="10">
        <f t="shared" si="11"/>
        <v>11.687608716683185</v>
      </c>
      <c r="S37" s="6"/>
    </row>
    <row r="38" spans="1:19" x14ac:dyDescent="0.25">
      <c r="A38">
        <v>30</v>
      </c>
      <c r="B38" s="1">
        <f t="shared" si="12"/>
        <v>3000000000</v>
      </c>
      <c r="C38" s="1">
        <v>21170</v>
      </c>
      <c r="D38" s="1">
        <v>22710</v>
      </c>
      <c r="E38" s="1">
        <v>21740</v>
      </c>
      <c r="F38" s="6">
        <f t="shared" si="0"/>
        <v>283419933.86868209</v>
      </c>
      <c r="G38" s="6">
        <f t="shared" si="1"/>
        <v>264200792.60237783</v>
      </c>
      <c r="H38" s="6">
        <f t="shared" si="2"/>
        <v>275988960.44158232</v>
      </c>
      <c r="I38" s="6">
        <f t="shared" si="3"/>
        <v>9447331.1289560702</v>
      </c>
      <c r="J38" s="6">
        <f t="shared" si="4"/>
        <v>8806693.0867459271</v>
      </c>
      <c r="K38" s="6">
        <f t="shared" si="5"/>
        <v>9199632.0147194099</v>
      </c>
      <c r="L38" s="6">
        <f t="shared" si="6"/>
        <v>350628261.50049555</v>
      </c>
      <c r="M38" s="6">
        <f t="shared" si="7"/>
        <v>11687608.716683185</v>
      </c>
      <c r="N38" s="6"/>
      <c r="O38" s="10">
        <f t="shared" si="8"/>
        <v>274.53656230421404</v>
      </c>
      <c r="P38" s="10">
        <f t="shared" si="9"/>
        <v>9.1512187434738035</v>
      </c>
      <c r="Q38" s="10">
        <f t="shared" si="10"/>
        <v>350.62826150049557</v>
      </c>
      <c r="R38" s="10">
        <f t="shared" si="11"/>
        <v>11.687608716683185</v>
      </c>
      <c r="S38" s="6"/>
    </row>
    <row r="39" spans="1:19" x14ac:dyDescent="0.25">
      <c r="A39">
        <v>31</v>
      </c>
      <c r="B39" s="1">
        <f t="shared" si="12"/>
        <v>3100000000</v>
      </c>
      <c r="C39" s="1">
        <v>22030</v>
      </c>
      <c r="D39" s="1">
        <v>23210</v>
      </c>
      <c r="E39" s="1">
        <v>22370</v>
      </c>
      <c r="F39" s="6">
        <f t="shared" si="0"/>
        <v>281434407.62596458</v>
      </c>
      <c r="G39" s="6">
        <f t="shared" si="1"/>
        <v>267126238.69021976</v>
      </c>
      <c r="H39" s="6">
        <f t="shared" si="2"/>
        <v>277156906.57130086</v>
      </c>
      <c r="I39" s="6">
        <f t="shared" si="3"/>
        <v>9078529.2782569211</v>
      </c>
      <c r="J39" s="6">
        <f t="shared" si="4"/>
        <v>8616975.4416199923</v>
      </c>
      <c r="K39" s="6">
        <f t="shared" si="5"/>
        <v>8940545.3732677698</v>
      </c>
      <c r="L39" s="6">
        <f t="shared" si="6"/>
        <v>362315870.2171787</v>
      </c>
      <c r="M39" s="6">
        <f t="shared" si="7"/>
        <v>11687608.716683185</v>
      </c>
      <c r="N39" s="6"/>
      <c r="O39" s="10">
        <f t="shared" si="8"/>
        <v>275.23918429582841</v>
      </c>
      <c r="P39" s="10">
        <f t="shared" si="9"/>
        <v>8.8786833643815619</v>
      </c>
      <c r="Q39" s="10">
        <f t="shared" si="10"/>
        <v>362.31587021717871</v>
      </c>
      <c r="R39" s="10">
        <f t="shared" si="11"/>
        <v>11.687608716683185</v>
      </c>
      <c r="S39" s="6"/>
    </row>
    <row r="40" spans="1:19" x14ac:dyDescent="0.25">
      <c r="A40">
        <v>32</v>
      </c>
      <c r="B40" s="1">
        <f t="shared" si="12"/>
        <v>3200000000</v>
      </c>
      <c r="C40" s="1">
        <v>23030</v>
      </c>
      <c r="D40" s="1">
        <v>26980</v>
      </c>
      <c r="E40" s="1">
        <v>25740</v>
      </c>
      <c r="F40" s="6">
        <f t="shared" si="0"/>
        <v>277898393.39991313</v>
      </c>
      <c r="G40" s="6">
        <f t="shared" si="1"/>
        <v>237212750.18532246</v>
      </c>
      <c r="H40" s="6">
        <f t="shared" si="2"/>
        <v>248640248.64024863</v>
      </c>
      <c r="I40" s="6">
        <f t="shared" si="3"/>
        <v>8684324.7937472854</v>
      </c>
      <c r="J40" s="6">
        <f t="shared" si="4"/>
        <v>7412898.443291327</v>
      </c>
      <c r="K40" s="6">
        <f t="shared" si="5"/>
        <v>7770007.7700077696</v>
      </c>
      <c r="L40" s="6">
        <f t="shared" si="6"/>
        <v>374003478.93386191</v>
      </c>
      <c r="M40" s="6">
        <f t="shared" si="7"/>
        <v>11687608.716683185</v>
      </c>
      <c r="N40" s="6"/>
      <c r="O40" s="10">
        <f t="shared" si="8"/>
        <v>254.58379740849475</v>
      </c>
      <c r="P40" s="10">
        <f t="shared" si="9"/>
        <v>7.9557436690154608</v>
      </c>
      <c r="Q40" s="10">
        <f t="shared" si="10"/>
        <v>374.00347893386191</v>
      </c>
      <c r="R40" s="10">
        <f t="shared" si="11"/>
        <v>11.687608716683185</v>
      </c>
      <c r="S40" s="6"/>
    </row>
    <row r="41" spans="1:19" x14ac:dyDescent="0.25">
      <c r="A41">
        <v>33</v>
      </c>
      <c r="B41" s="1">
        <f t="shared" si="12"/>
        <v>3300000000</v>
      </c>
      <c r="C41" s="1">
        <v>35810</v>
      </c>
      <c r="D41" s="1">
        <v>44210</v>
      </c>
      <c r="E41" s="1">
        <v>44870</v>
      </c>
      <c r="F41" s="6">
        <f t="shared" si="0"/>
        <v>184306059.75984362</v>
      </c>
      <c r="G41" s="6">
        <f t="shared" si="1"/>
        <v>149287491.51775616</v>
      </c>
      <c r="H41" s="6">
        <f t="shared" si="2"/>
        <v>147091597.94963226</v>
      </c>
      <c r="I41" s="6">
        <f t="shared" si="3"/>
        <v>5585032.1139346547</v>
      </c>
      <c r="J41" s="6">
        <f t="shared" si="4"/>
        <v>4523863.379325944</v>
      </c>
      <c r="K41" s="6">
        <f t="shared" si="5"/>
        <v>4457321.1499888562</v>
      </c>
      <c r="L41" s="6">
        <f>$L$40+$L$9*(A41-32)*40%</f>
        <v>378678522.42053521</v>
      </c>
      <c r="M41" s="6">
        <f t="shared" si="7"/>
        <v>11475106.740016218</v>
      </c>
      <c r="N41" s="6"/>
      <c r="O41" s="10">
        <f t="shared" si="8"/>
        <v>160.22838307574403</v>
      </c>
      <c r="P41" s="10">
        <f t="shared" si="9"/>
        <v>4.8554055477498181</v>
      </c>
      <c r="Q41" s="10">
        <f t="shared" si="10"/>
        <v>378.67852242053522</v>
      </c>
      <c r="R41" s="10">
        <f t="shared" si="11"/>
        <v>11.475106740016217</v>
      </c>
      <c r="S41" s="6"/>
    </row>
    <row r="42" spans="1:19" x14ac:dyDescent="0.25">
      <c r="A42">
        <v>34</v>
      </c>
      <c r="B42" s="1">
        <f t="shared" si="12"/>
        <v>3400000000</v>
      </c>
      <c r="C42" s="1">
        <v>66420</v>
      </c>
      <c r="D42" s="1">
        <v>64290</v>
      </c>
      <c r="E42" s="1">
        <v>77810</v>
      </c>
      <c r="F42" s="6">
        <f t="shared" si="0"/>
        <v>102378801.56579342</v>
      </c>
      <c r="G42" s="6">
        <f t="shared" si="1"/>
        <v>105770726.39601804</v>
      </c>
      <c r="H42" s="6">
        <f t="shared" si="2"/>
        <v>87392366.019791812</v>
      </c>
      <c r="I42" s="6">
        <f t="shared" si="3"/>
        <v>3011141.2225233358</v>
      </c>
      <c r="J42" s="6">
        <f t="shared" si="4"/>
        <v>3110903.7175299423</v>
      </c>
      <c r="K42" s="6">
        <f t="shared" si="5"/>
        <v>2570363.7064644652</v>
      </c>
      <c r="L42" s="6">
        <f t="shared" ref="L42:L72" si="13">$L$40+$L$9*(A42-32)*40%</f>
        <v>383353565.90720844</v>
      </c>
      <c r="M42" s="6">
        <f t="shared" si="7"/>
        <v>11275104.879623778</v>
      </c>
      <c r="N42" s="6"/>
      <c r="O42" s="10">
        <f t="shared" si="8"/>
        <v>98.513964660534427</v>
      </c>
      <c r="P42" s="10">
        <f t="shared" si="9"/>
        <v>2.8974695488392483</v>
      </c>
      <c r="Q42" s="10">
        <f t="shared" si="10"/>
        <v>383.35356590720846</v>
      </c>
      <c r="R42" s="10">
        <f t="shared" si="11"/>
        <v>11.275104879623779</v>
      </c>
      <c r="S42" s="6"/>
    </row>
    <row r="43" spans="1:19" x14ac:dyDescent="0.25">
      <c r="A43">
        <v>35</v>
      </c>
      <c r="B43" s="1">
        <f t="shared" si="12"/>
        <v>3500000000</v>
      </c>
      <c r="C43" s="1">
        <v>101410</v>
      </c>
      <c r="D43" s="1">
        <v>84660</v>
      </c>
      <c r="E43" s="1">
        <v>94610</v>
      </c>
      <c r="F43" s="6">
        <f t="shared" si="0"/>
        <v>69026723.202839956</v>
      </c>
      <c r="G43" s="6">
        <f t="shared" si="1"/>
        <v>82683675.879990548</v>
      </c>
      <c r="H43" s="6">
        <f t="shared" si="2"/>
        <v>73987950.533770218</v>
      </c>
      <c r="I43" s="6">
        <f t="shared" si="3"/>
        <v>1972192.0915097131</v>
      </c>
      <c r="J43" s="6">
        <f t="shared" si="4"/>
        <v>2362390.7394283013</v>
      </c>
      <c r="K43" s="6">
        <f t="shared" si="5"/>
        <v>2113941.4438220062</v>
      </c>
      <c r="L43" s="6">
        <f t="shared" si="13"/>
        <v>388028609.39388174</v>
      </c>
      <c r="M43" s="6">
        <f t="shared" si="7"/>
        <v>11086531.696968049</v>
      </c>
      <c r="N43" s="6"/>
      <c r="O43" s="10">
        <f t="shared" si="8"/>
        <v>75.232783205533565</v>
      </c>
      <c r="P43" s="10">
        <f t="shared" si="9"/>
        <v>2.1495080915866738</v>
      </c>
      <c r="Q43" s="10">
        <f t="shared" si="10"/>
        <v>388.02860939388177</v>
      </c>
      <c r="R43" s="10">
        <f t="shared" si="11"/>
        <v>11.086531696968049</v>
      </c>
      <c r="S43" s="6"/>
    </row>
    <row r="44" spans="1:19" x14ac:dyDescent="0.25">
      <c r="A44">
        <v>36</v>
      </c>
      <c r="B44" s="1">
        <f t="shared" si="12"/>
        <v>3600000000</v>
      </c>
      <c r="C44" s="1">
        <v>117810</v>
      </c>
      <c r="D44" s="1">
        <v>115280</v>
      </c>
      <c r="E44" s="1">
        <v>109800</v>
      </c>
      <c r="F44" s="6">
        <f t="shared" si="0"/>
        <v>61115355.233002298</v>
      </c>
      <c r="G44" s="6">
        <f t="shared" si="1"/>
        <v>62456627.342123523</v>
      </c>
      <c r="H44" s="6">
        <f t="shared" si="2"/>
        <v>65573770.491803281</v>
      </c>
      <c r="I44" s="6">
        <f t="shared" si="3"/>
        <v>1697648.7564722861</v>
      </c>
      <c r="J44" s="6">
        <f t="shared" si="4"/>
        <v>1734906.3150589867</v>
      </c>
      <c r="K44" s="6">
        <f t="shared" si="5"/>
        <v>1821493.6247723133</v>
      </c>
      <c r="L44" s="6">
        <f t="shared" si="13"/>
        <v>392703652.88055503</v>
      </c>
      <c r="M44" s="6">
        <f t="shared" si="7"/>
        <v>10908434.802237639</v>
      </c>
      <c r="N44" s="6"/>
      <c r="O44" s="10">
        <f t="shared" si="8"/>
        <v>63.048584355643037</v>
      </c>
      <c r="P44" s="10">
        <f t="shared" si="9"/>
        <v>1.7513495654345286</v>
      </c>
      <c r="Q44" s="10">
        <f t="shared" si="10"/>
        <v>392.70365288055501</v>
      </c>
      <c r="R44" s="10">
        <f t="shared" si="11"/>
        <v>10.90843480223764</v>
      </c>
      <c r="S44" s="6"/>
    </row>
    <row r="45" spans="1:19" x14ac:dyDescent="0.25">
      <c r="A45">
        <v>37</v>
      </c>
      <c r="B45" s="1">
        <f t="shared" si="12"/>
        <v>3700000000</v>
      </c>
      <c r="C45" s="1">
        <v>21280</v>
      </c>
      <c r="D45" s="1">
        <v>136820</v>
      </c>
      <c r="E45" s="1">
        <v>125060</v>
      </c>
      <c r="F45" s="6">
        <f t="shared" si="0"/>
        <v>347744360.90225565</v>
      </c>
      <c r="G45" s="6">
        <f t="shared" si="1"/>
        <v>54085659.991229355</v>
      </c>
      <c r="H45" s="6">
        <f t="shared" si="2"/>
        <v>59171597.633136094</v>
      </c>
      <c r="I45" s="6">
        <f t="shared" si="3"/>
        <v>9398496.2406015042</v>
      </c>
      <c r="J45" s="6">
        <f t="shared" si="4"/>
        <v>1461774.5943575501</v>
      </c>
      <c r="K45" s="6">
        <f t="shared" si="5"/>
        <v>1599232.3684631377</v>
      </c>
      <c r="L45" s="6">
        <f t="shared" si="13"/>
        <v>397378696.36722827</v>
      </c>
      <c r="M45" s="6">
        <f t="shared" si="7"/>
        <v>10739964.766681844</v>
      </c>
      <c r="N45" s="6"/>
      <c r="O45" s="10">
        <f t="shared" si="8"/>
        <v>153.66720617554037</v>
      </c>
      <c r="P45" s="10">
        <f t="shared" si="9"/>
        <v>4.1531677344740645</v>
      </c>
      <c r="Q45" s="10">
        <f t="shared" si="10"/>
        <v>397.37869636722826</v>
      </c>
      <c r="R45" s="10">
        <f t="shared" si="11"/>
        <v>10.739964766681844</v>
      </c>
      <c r="S45" s="6"/>
    </row>
    <row r="46" spans="1:19" x14ac:dyDescent="0.25">
      <c r="A46">
        <v>38</v>
      </c>
      <c r="B46" s="1">
        <f t="shared" si="12"/>
        <v>3800000000</v>
      </c>
      <c r="C46" s="1">
        <v>199360</v>
      </c>
      <c r="D46" s="1">
        <v>143710</v>
      </c>
      <c r="E46" s="1">
        <v>21760</v>
      </c>
      <c r="F46" s="6">
        <f t="shared" si="0"/>
        <v>38121990.36918138</v>
      </c>
      <c r="G46" s="6">
        <f t="shared" si="1"/>
        <v>52884280.84336511</v>
      </c>
      <c r="H46" s="6">
        <f t="shared" si="2"/>
        <v>349264705.88235295</v>
      </c>
      <c r="I46" s="6">
        <f t="shared" si="3"/>
        <v>1003210.2728731942</v>
      </c>
      <c r="J46" s="6">
        <f t="shared" si="4"/>
        <v>1391691.6011411871</v>
      </c>
      <c r="K46" s="6">
        <f t="shared" si="5"/>
        <v>9191176.4705882352</v>
      </c>
      <c r="L46" s="6">
        <f t="shared" si="13"/>
        <v>402053739.85390157</v>
      </c>
      <c r="M46" s="6">
        <f t="shared" si="7"/>
        <v>10580361.575102672</v>
      </c>
      <c r="N46" s="6"/>
      <c r="O46" s="10">
        <f t="shared" si="8"/>
        <v>146.75699236496649</v>
      </c>
      <c r="P46" s="10">
        <f t="shared" si="9"/>
        <v>3.8620261148675388</v>
      </c>
      <c r="Q46" s="10">
        <f t="shared" si="10"/>
        <v>402.05373985390156</v>
      </c>
      <c r="R46" s="10">
        <f t="shared" si="11"/>
        <v>10.580361575102671</v>
      </c>
      <c r="S46" s="6"/>
    </row>
    <row r="47" spans="1:19" x14ac:dyDescent="0.25">
      <c r="A47">
        <v>39</v>
      </c>
      <c r="B47" s="1">
        <f t="shared" si="12"/>
        <v>3900000000</v>
      </c>
      <c r="C47" s="1">
        <v>21600</v>
      </c>
      <c r="D47" s="1">
        <v>21810</v>
      </c>
      <c r="E47" s="1">
        <v>162680</v>
      </c>
      <c r="F47" s="6">
        <f t="shared" si="0"/>
        <v>361111111.1111111</v>
      </c>
      <c r="G47" s="6">
        <f t="shared" si="1"/>
        <v>357634112.79229707</v>
      </c>
      <c r="H47" s="6">
        <f t="shared" si="2"/>
        <v>47946889.599213183</v>
      </c>
      <c r="I47" s="6">
        <f t="shared" si="3"/>
        <v>9259259.2592592593</v>
      </c>
      <c r="J47" s="6">
        <f t="shared" si="4"/>
        <v>9170105.456212746</v>
      </c>
      <c r="K47" s="6">
        <f t="shared" si="5"/>
        <v>1229407.4256208509</v>
      </c>
      <c r="L47" s="6">
        <f t="shared" si="13"/>
        <v>406728783.34057486</v>
      </c>
      <c r="M47" s="6">
        <f t="shared" si="7"/>
        <v>10428943.162578842</v>
      </c>
      <c r="N47" s="6"/>
      <c r="O47" s="10">
        <f t="shared" si="8"/>
        <v>255.56403783420714</v>
      </c>
      <c r="P47" s="10">
        <f t="shared" si="9"/>
        <v>6.5529240470309515</v>
      </c>
      <c r="Q47" s="10">
        <f t="shared" si="10"/>
        <v>406.72878334057486</v>
      </c>
      <c r="R47" s="10">
        <f t="shared" si="11"/>
        <v>10.428943162578841</v>
      </c>
      <c r="S47" s="6"/>
    </row>
    <row r="48" spans="1:19" x14ac:dyDescent="0.25">
      <c r="A48">
        <v>40</v>
      </c>
      <c r="B48" s="1">
        <f t="shared" si="12"/>
        <v>4000000000</v>
      </c>
      <c r="C48" s="1">
        <v>149590</v>
      </c>
      <c r="D48" s="1">
        <v>159300</v>
      </c>
      <c r="E48" s="1">
        <v>163340</v>
      </c>
      <c r="F48" s="6">
        <f t="shared" si="0"/>
        <v>53479510.662477441</v>
      </c>
      <c r="G48" s="6">
        <f t="shared" si="1"/>
        <v>50219711.236660391</v>
      </c>
      <c r="H48" s="6">
        <f t="shared" si="2"/>
        <v>48977592.751316272</v>
      </c>
      <c r="I48" s="6">
        <f t="shared" si="3"/>
        <v>1336987.7665619361</v>
      </c>
      <c r="J48" s="6">
        <f t="shared" si="4"/>
        <v>1255492.7809165097</v>
      </c>
      <c r="K48" s="6">
        <f t="shared" si="5"/>
        <v>1224439.8187829067</v>
      </c>
      <c r="L48" s="6">
        <f t="shared" si="13"/>
        <v>411403826.8272481</v>
      </c>
      <c r="M48" s="6">
        <f t="shared" si="7"/>
        <v>10285095.670681203</v>
      </c>
      <c r="N48" s="6"/>
      <c r="O48" s="10">
        <f t="shared" si="8"/>
        <v>50.892271550151371</v>
      </c>
      <c r="P48" s="10">
        <f t="shared" si="9"/>
        <v>1.2723067887537842</v>
      </c>
      <c r="Q48" s="10">
        <f t="shared" si="10"/>
        <v>411.40382682724811</v>
      </c>
      <c r="R48" s="10">
        <f t="shared" si="11"/>
        <v>10.285095670681203</v>
      </c>
      <c r="S48" s="6"/>
    </row>
    <row r="49" spans="1:21" x14ac:dyDescent="0.25">
      <c r="A49">
        <v>41</v>
      </c>
      <c r="B49" s="1">
        <f t="shared" si="12"/>
        <v>4100000000</v>
      </c>
      <c r="C49" s="1">
        <v>185420</v>
      </c>
      <c r="D49" s="1">
        <v>190000</v>
      </c>
      <c r="E49" s="1">
        <v>178150</v>
      </c>
      <c r="F49" s="6">
        <f t="shared" si="0"/>
        <v>44223924.064286485</v>
      </c>
      <c r="G49" s="6">
        <f t="shared" si="1"/>
        <v>43157894.736842103</v>
      </c>
      <c r="H49" s="6">
        <f t="shared" si="2"/>
        <v>46028627.561044067</v>
      </c>
      <c r="I49" s="6">
        <f t="shared" si="3"/>
        <v>1078632.2942508899</v>
      </c>
      <c r="J49" s="6">
        <f t="shared" si="4"/>
        <v>1052631.5789473683</v>
      </c>
      <c r="K49" s="6">
        <f t="shared" si="5"/>
        <v>1122649.4527083919</v>
      </c>
      <c r="L49" s="6">
        <f t="shared" si="13"/>
        <v>416078870.31392139</v>
      </c>
      <c r="M49" s="6">
        <f t="shared" si="7"/>
        <v>10148265.12960784</v>
      </c>
      <c r="N49" s="6"/>
      <c r="O49" s="10">
        <f t="shared" si="8"/>
        <v>44.47014878739089</v>
      </c>
      <c r="P49" s="10">
        <f t="shared" si="9"/>
        <v>1.0846377753022167</v>
      </c>
      <c r="Q49" s="10">
        <f t="shared" si="10"/>
        <v>416.07887031392141</v>
      </c>
      <c r="R49" s="10">
        <f t="shared" si="11"/>
        <v>10.148265129607839</v>
      </c>
      <c r="S49" s="6"/>
    </row>
    <row r="50" spans="1:21" x14ac:dyDescent="0.25">
      <c r="A50">
        <v>42</v>
      </c>
      <c r="B50" s="1">
        <f t="shared" si="12"/>
        <v>4200000000</v>
      </c>
      <c r="C50" s="1">
        <v>180920</v>
      </c>
      <c r="D50" s="1">
        <v>180010</v>
      </c>
      <c r="E50" s="1">
        <v>187490</v>
      </c>
      <c r="F50" s="6">
        <f t="shared" si="0"/>
        <v>46429361.043555163</v>
      </c>
      <c r="G50" s="6">
        <f t="shared" si="1"/>
        <v>46664074.218098991</v>
      </c>
      <c r="H50" s="6">
        <f t="shared" si="2"/>
        <v>44802389.46077124</v>
      </c>
      <c r="I50" s="6">
        <f t="shared" si="3"/>
        <v>1105460.9772275039</v>
      </c>
      <c r="J50" s="6">
        <f t="shared" si="4"/>
        <v>1111049.3861452141</v>
      </c>
      <c r="K50" s="6">
        <f t="shared" si="5"/>
        <v>1066723.5585897914</v>
      </c>
      <c r="L50" s="6">
        <f t="shared" si="13"/>
        <v>420753913.80059469</v>
      </c>
      <c r="M50" s="6">
        <f t="shared" si="7"/>
        <v>10017950.328585587</v>
      </c>
      <c r="N50" s="6"/>
      <c r="O50" s="10">
        <f t="shared" si="8"/>
        <v>45.965274907475134</v>
      </c>
      <c r="P50" s="10">
        <f t="shared" si="9"/>
        <v>1.0944113073208364</v>
      </c>
      <c r="Q50" s="10">
        <f t="shared" si="10"/>
        <v>420.75391380059466</v>
      </c>
      <c r="R50" s="10">
        <f t="shared" si="11"/>
        <v>10.017950328585588</v>
      </c>
      <c r="S50" s="6"/>
    </row>
    <row r="51" spans="1:21" x14ac:dyDescent="0.25">
      <c r="A51">
        <v>43</v>
      </c>
      <c r="B51" s="1">
        <f t="shared" si="12"/>
        <v>4300000000</v>
      </c>
      <c r="C51" s="1">
        <v>190150</v>
      </c>
      <c r="D51" s="1">
        <v>21250</v>
      </c>
      <c r="E51" s="1">
        <v>188310</v>
      </c>
      <c r="F51" s="6">
        <f t="shared" si="0"/>
        <v>45227452.011569813</v>
      </c>
      <c r="G51" s="6">
        <f t="shared" si="1"/>
        <v>404705882.35294122</v>
      </c>
      <c r="H51" s="6">
        <f t="shared" si="2"/>
        <v>45669374.966810048</v>
      </c>
      <c r="I51" s="6">
        <f t="shared" si="3"/>
        <v>1051801.2095713911</v>
      </c>
      <c r="J51" s="6">
        <f t="shared" si="4"/>
        <v>9411764.7058823537</v>
      </c>
      <c r="K51" s="6">
        <f t="shared" si="5"/>
        <v>1062078.4876002336</v>
      </c>
      <c r="L51" s="6">
        <f t="shared" si="13"/>
        <v>425428957.28726792</v>
      </c>
      <c r="M51" s="6">
        <f t="shared" si="7"/>
        <v>9893696.6810992546</v>
      </c>
      <c r="N51" s="6"/>
      <c r="O51" s="10">
        <f t="shared" si="8"/>
        <v>165.20090311044035</v>
      </c>
      <c r="P51" s="10">
        <f t="shared" si="9"/>
        <v>3.8418814676846598</v>
      </c>
      <c r="Q51" s="10">
        <f t="shared" si="10"/>
        <v>425.42895728726791</v>
      </c>
      <c r="R51" s="10">
        <f t="shared" si="11"/>
        <v>9.8936966810992555</v>
      </c>
      <c r="S51" s="6"/>
    </row>
    <row r="52" spans="1:21" x14ac:dyDescent="0.25">
      <c r="A52">
        <v>44</v>
      </c>
      <c r="B52" s="1">
        <f t="shared" si="12"/>
        <v>4400000000</v>
      </c>
      <c r="C52" s="1">
        <v>172420</v>
      </c>
      <c r="D52" s="1">
        <v>186770</v>
      </c>
      <c r="E52" s="1">
        <v>202180</v>
      </c>
      <c r="F52" s="6">
        <f t="shared" si="0"/>
        <v>51038162.62614546</v>
      </c>
      <c r="G52" s="6">
        <f t="shared" si="1"/>
        <v>47116774.642608561</v>
      </c>
      <c r="H52" s="6">
        <f t="shared" si="2"/>
        <v>43525571.273122959</v>
      </c>
      <c r="I52" s="6">
        <f t="shared" si="3"/>
        <v>1159958.241503306</v>
      </c>
      <c r="J52" s="6">
        <f t="shared" si="4"/>
        <v>1070835.7873320128</v>
      </c>
      <c r="K52" s="6">
        <f t="shared" si="5"/>
        <v>989217.52893461275</v>
      </c>
      <c r="L52" s="6">
        <f t="shared" si="13"/>
        <v>430104000.77394122</v>
      </c>
      <c r="M52" s="6">
        <f t="shared" si="7"/>
        <v>9775090.9266804829</v>
      </c>
      <c r="N52" s="6"/>
      <c r="O52" s="10">
        <f t="shared" si="8"/>
        <v>47.226836180625654</v>
      </c>
      <c r="P52" s="10">
        <f t="shared" si="9"/>
        <v>1.0733371859233107</v>
      </c>
      <c r="Q52" s="10">
        <f t="shared" si="10"/>
        <v>430.10400077394121</v>
      </c>
      <c r="R52" s="10">
        <f t="shared" si="11"/>
        <v>9.7750909266804822</v>
      </c>
      <c r="S52" s="6"/>
    </row>
    <row r="53" spans="1:21" x14ac:dyDescent="0.25">
      <c r="A53">
        <v>45</v>
      </c>
      <c r="B53" s="1">
        <f t="shared" si="12"/>
        <v>4500000000</v>
      </c>
      <c r="C53" s="1">
        <v>22310</v>
      </c>
      <c r="D53" s="1">
        <v>22050</v>
      </c>
      <c r="E53" s="1">
        <v>201680</v>
      </c>
      <c r="F53" s="6">
        <f t="shared" si="0"/>
        <v>403406544.15060508</v>
      </c>
      <c r="G53" s="6">
        <f t="shared" si="1"/>
        <v>408163265.30612242</v>
      </c>
      <c r="H53" s="6">
        <f t="shared" si="2"/>
        <v>44625148.750495836</v>
      </c>
      <c r="I53" s="6">
        <f t="shared" si="3"/>
        <v>8964589.8700134456</v>
      </c>
      <c r="J53" s="6">
        <f t="shared" si="4"/>
        <v>9070294.7845804989</v>
      </c>
      <c r="K53" s="6">
        <f t="shared" si="5"/>
        <v>991669.97223324084</v>
      </c>
      <c r="L53" s="6">
        <f t="shared" si="13"/>
        <v>434779044.26061445</v>
      </c>
      <c r="M53" s="6">
        <f t="shared" si="7"/>
        <v>9661756.5391247664</v>
      </c>
      <c r="N53" s="6"/>
      <c r="O53" s="10">
        <f t="shared" si="8"/>
        <v>285.39831940240776</v>
      </c>
      <c r="P53" s="10">
        <f t="shared" si="9"/>
        <v>6.3421848756090613</v>
      </c>
      <c r="Q53" s="10">
        <f t="shared" si="10"/>
        <v>434.77904426061446</v>
      </c>
      <c r="R53" s="10">
        <f t="shared" si="11"/>
        <v>9.6617565391247666</v>
      </c>
      <c r="S53" s="6"/>
    </row>
    <row r="54" spans="1:21" x14ac:dyDescent="0.25">
      <c r="A54">
        <v>46</v>
      </c>
      <c r="B54" s="1">
        <f t="shared" si="12"/>
        <v>4600000000</v>
      </c>
      <c r="C54" s="1">
        <v>55150</v>
      </c>
      <c r="D54" s="1">
        <v>507160</v>
      </c>
      <c r="E54" s="1">
        <v>335050</v>
      </c>
      <c r="F54" s="6">
        <f t="shared" si="0"/>
        <v>166817769.7189483</v>
      </c>
      <c r="G54" s="6">
        <f t="shared" si="1"/>
        <v>18140231.879485764</v>
      </c>
      <c r="H54" s="6">
        <f t="shared" si="2"/>
        <v>27458588.270407401</v>
      </c>
      <c r="I54" s="6">
        <f t="shared" si="3"/>
        <v>3626473.2547597457</v>
      </c>
      <c r="J54" s="6">
        <f t="shared" si="4"/>
        <v>394352.86694534268</v>
      </c>
      <c r="K54" s="6">
        <f t="shared" si="5"/>
        <v>596925.83196537825</v>
      </c>
      <c r="L54" s="6">
        <f t="shared" si="13"/>
        <v>439454087.74728775</v>
      </c>
      <c r="M54" s="6">
        <f t="shared" si="7"/>
        <v>9553349.7336366903</v>
      </c>
      <c r="N54" s="6"/>
      <c r="O54" s="10">
        <f t="shared" si="8"/>
        <v>70.805529956280481</v>
      </c>
      <c r="P54" s="10">
        <f t="shared" si="9"/>
        <v>1.5392506512234889</v>
      </c>
      <c r="Q54" s="10">
        <f t="shared" si="10"/>
        <v>439.45408774728776</v>
      </c>
      <c r="R54" s="10">
        <f t="shared" si="11"/>
        <v>9.5533497336366899</v>
      </c>
      <c r="S54" s="6"/>
    </row>
    <row r="55" spans="1:21" x14ac:dyDescent="0.25">
      <c r="A55">
        <v>47</v>
      </c>
      <c r="B55" s="1">
        <f t="shared" si="12"/>
        <v>4700000000</v>
      </c>
      <c r="C55" s="1">
        <v>46580</v>
      </c>
      <c r="D55" s="1">
        <v>63440</v>
      </c>
      <c r="E55" s="1">
        <v>329000</v>
      </c>
      <c r="F55" s="6">
        <f t="shared" si="0"/>
        <v>201803349.07685703</v>
      </c>
      <c r="G55" s="6">
        <f t="shared" si="1"/>
        <v>148171500.63051704</v>
      </c>
      <c r="H55" s="6">
        <f t="shared" si="2"/>
        <v>28571428.571428571</v>
      </c>
      <c r="I55" s="6">
        <f t="shared" si="3"/>
        <v>4293688.2782310005</v>
      </c>
      <c r="J55" s="6">
        <f t="shared" si="4"/>
        <v>3152585.1197982347</v>
      </c>
      <c r="K55" s="6">
        <f t="shared" si="5"/>
        <v>607902.73556230997</v>
      </c>
      <c r="L55" s="6">
        <f t="shared" si="13"/>
        <v>444129131.23396105</v>
      </c>
      <c r="M55" s="6">
        <f t="shared" si="7"/>
        <v>9449555.983701298</v>
      </c>
      <c r="N55" s="6"/>
      <c r="O55" s="10">
        <f t="shared" si="8"/>
        <v>126.18209275960089</v>
      </c>
      <c r="P55" s="10">
        <f t="shared" si="9"/>
        <v>2.684725377863848</v>
      </c>
      <c r="Q55" s="10">
        <f t="shared" si="10"/>
        <v>444.12913123396106</v>
      </c>
      <c r="R55" s="10">
        <f t="shared" si="11"/>
        <v>9.4495559837012983</v>
      </c>
      <c r="S55" s="6"/>
    </row>
    <row r="56" spans="1:21" x14ac:dyDescent="0.25">
      <c r="A56">
        <v>48</v>
      </c>
      <c r="B56" s="1">
        <f t="shared" si="12"/>
        <v>4800000000</v>
      </c>
      <c r="C56" s="1">
        <v>282670</v>
      </c>
      <c r="D56" s="1">
        <v>73590</v>
      </c>
      <c r="E56" s="1">
        <v>398310</v>
      </c>
      <c r="F56" s="6">
        <f t="shared" si="0"/>
        <v>33961863.657268196</v>
      </c>
      <c r="G56" s="6">
        <f t="shared" si="1"/>
        <v>130452507.13412148</v>
      </c>
      <c r="H56" s="6">
        <f t="shared" si="2"/>
        <v>24101830.232733298</v>
      </c>
      <c r="I56" s="6">
        <f t="shared" si="3"/>
        <v>707538.82619308739</v>
      </c>
      <c r="J56" s="6">
        <f t="shared" si="4"/>
        <v>2717760.5652941973</v>
      </c>
      <c r="K56" s="6">
        <f t="shared" si="5"/>
        <v>502121.46318194369</v>
      </c>
      <c r="L56" s="6">
        <f t="shared" si="13"/>
        <v>448804174.72063428</v>
      </c>
      <c r="M56" s="6">
        <f t="shared" si="7"/>
        <v>9350086.9733465482</v>
      </c>
      <c r="N56" s="6"/>
      <c r="O56" s="10">
        <f t="shared" si="8"/>
        <v>62.838733674707662</v>
      </c>
      <c r="P56" s="10">
        <f t="shared" si="9"/>
        <v>1.3091402848897427</v>
      </c>
      <c r="Q56" s="10">
        <f t="shared" si="10"/>
        <v>448.80417472063431</v>
      </c>
      <c r="R56" s="10">
        <f t="shared" si="11"/>
        <v>9.3500869733465475</v>
      </c>
      <c r="S56" s="6"/>
    </row>
    <row r="57" spans="1:21" x14ac:dyDescent="0.25">
      <c r="A57">
        <v>49</v>
      </c>
      <c r="B57" s="1">
        <f t="shared" si="12"/>
        <v>4900000000</v>
      </c>
      <c r="C57" s="1">
        <v>65670</v>
      </c>
      <c r="D57" s="1">
        <v>73940</v>
      </c>
      <c r="E57" s="1">
        <v>63790</v>
      </c>
      <c r="F57" s="6">
        <f t="shared" si="0"/>
        <v>149231003.50236028</v>
      </c>
      <c r="G57" s="6">
        <f t="shared" si="1"/>
        <v>132539897.21395728</v>
      </c>
      <c r="H57" s="6">
        <f t="shared" si="2"/>
        <v>153629095.46950933</v>
      </c>
      <c r="I57" s="6">
        <f t="shared" si="3"/>
        <v>3045530.6837216383</v>
      </c>
      <c r="J57" s="6">
        <f t="shared" si="4"/>
        <v>2704895.8615093324</v>
      </c>
      <c r="K57" s="6">
        <f t="shared" si="5"/>
        <v>3135287.6626430475</v>
      </c>
      <c r="L57" s="6">
        <f t="shared" si="13"/>
        <v>453479218.20730758</v>
      </c>
      <c r="M57" s="6">
        <f t="shared" si="7"/>
        <v>9254677.9225981142</v>
      </c>
      <c r="N57" s="6"/>
      <c r="O57" s="10">
        <f t="shared" si="8"/>
        <v>145.1333320619423</v>
      </c>
      <c r="P57" s="10">
        <f t="shared" si="9"/>
        <v>2.9619047359580062</v>
      </c>
      <c r="Q57" s="10">
        <f t="shared" si="10"/>
        <v>453.47921820730755</v>
      </c>
      <c r="R57" s="10">
        <f t="shared" si="11"/>
        <v>9.2546779225981144</v>
      </c>
      <c r="S57" s="6"/>
    </row>
    <row r="58" spans="1:21" x14ac:dyDescent="0.25">
      <c r="A58">
        <v>50</v>
      </c>
      <c r="B58" s="1">
        <f t="shared" si="12"/>
        <v>5000000000</v>
      </c>
      <c r="C58" s="1">
        <v>428140</v>
      </c>
      <c r="D58" s="1">
        <v>217460</v>
      </c>
      <c r="E58" s="1">
        <v>100130</v>
      </c>
      <c r="F58" s="6">
        <f t="shared" si="0"/>
        <v>23356845.891530808</v>
      </c>
      <c r="G58" s="6">
        <f t="shared" si="1"/>
        <v>45985468.59192495</v>
      </c>
      <c r="H58" s="6">
        <f t="shared" si="2"/>
        <v>99870168.780585244</v>
      </c>
      <c r="I58" s="6">
        <f t="shared" si="3"/>
        <v>467136.91783061618</v>
      </c>
      <c r="J58" s="6">
        <f t="shared" si="4"/>
        <v>919709.37183849898</v>
      </c>
      <c r="K58" s="6">
        <f t="shared" si="5"/>
        <v>1997403.3756117048</v>
      </c>
      <c r="L58" s="6">
        <f t="shared" si="13"/>
        <v>458154261.69398081</v>
      </c>
      <c r="M58" s="6">
        <f t="shared" si="7"/>
        <v>9163085.2338796165</v>
      </c>
      <c r="N58" s="6"/>
      <c r="O58" s="10">
        <f t="shared" si="8"/>
        <v>56.404161088013673</v>
      </c>
      <c r="P58" s="10">
        <f t="shared" si="9"/>
        <v>1.1280832217602732</v>
      </c>
      <c r="Q58" s="10">
        <f t="shared" si="10"/>
        <v>458.1542616939808</v>
      </c>
      <c r="R58" s="10">
        <f t="shared" si="11"/>
        <v>9.1630852338796167</v>
      </c>
      <c r="S58" s="6"/>
    </row>
    <row r="59" spans="1:21" x14ac:dyDescent="0.25">
      <c r="A59">
        <v>51</v>
      </c>
      <c r="B59" s="1">
        <f t="shared" si="12"/>
        <v>5100000000</v>
      </c>
      <c r="C59" s="1">
        <v>282570</v>
      </c>
      <c r="D59" s="1">
        <v>379120</v>
      </c>
      <c r="E59" s="1">
        <v>344980</v>
      </c>
      <c r="F59" s="6">
        <f t="shared" si="0"/>
        <v>36097250.238878861</v>
      </c>
      <c r="G59" s="6">
        <f t="shared" si="1"/>
        <v>26904410.213125132</v>
      </c>
      <c r="H59" s="6">
        <f t="shared" si="2"/>
        <v>29566931.416313991</v>
      </c>
      <c r="I59" s="6">
        <f t="shared" si="3"/>
        <v>707789.2203701738</v>
      </c>
      <c r="J59" s="6">
        <f t="shared" si="4"/>
        <v>527537.45515931631</v>
      </c>
      <c r="K59" s="6">
        <f t="shared" si="5"/>
        <v>579743.75326105859</v>
      </c>
      <c r="L59" s="6">
        <f t="shared" si="13"/>
        <v>462829305.18065411</v>
      </c>
      <c r="M59" s="6">
        <f t="shared" si="7"/>
        <v>9075084.4153069425</v>
      </c>
      <c r="N59" s="6"/>
      <c r="O59" s="10">
        <f t="shared" si="8"/>
        <v>30.856197289439333</v>
      </c>
      <c r="P59" s="10">
        <f t="shared" si="9"/>
        <v>0.60502347626351627</v>
      </c>
      <c r="Q59" s="10">
        <f t="shared" si="10"/>
        <v>462.8293051806541</v>
      </c>
      <c r="R59" s="10">
        <f t="shared" si="11"/>
        <v>9.075084415306943</v>
      </c>
      <c r="S59" s="6"/>
    </row>
    <row r="60" spans="1:21" x14ac:dyDescent="0.25">
      <c r="A60">
        <v>52</v>
      </c>
      <c r="B60" s="1">
        <f t="shared" si="12"/>
        <v>5200000000</v>
      </c>
      <c r="C60" s="1">
        <v>80760</v>
      </c>
      <c r="D60" s="1">
        <v>38330</v>
      </c>
      <c r="E60" s="1">
        <v>329080</v>
      </c>
      <c r="F60" s="6">
        <f t="shared" si="0"/>
        <v>128776622.09014364</v>
      </c>
      <c r="G60" s="6">
        <f t="shared" si="1"/>
        <v>271327941.56013566</v>
      </c>
      <c r="H60" s="6">
        <f t="shared" si="2"/>
        <v>31603257.566549167</v>
      </c>
      <c r="I60" s="6">
        <f t="shared" si="3"/>
        <v>2476473.5017335312</v>
      </c>
      <c r="J60" s="6">
        <f t="shared" si="4"/>
        <v>5217845.0300026089</v>
      </c>
      <c r="K60" s="6">
        <f t="shared" si="5"/>
        <v>607754.95320286858</v>
      </c>
      <c r="L60" s="6">
        <f t="shared" si="13"/>
        <v>467504348.6673274</v>
      </c>
      <c r="M60" s="6">
        <f t="shared" si="7"/>
        <v>8990468.2436024509</v>
      </c>
      <c r="N60" s="6"/>
      <c r="O60" s="10">
        <f t="shared" si="8"/>
        <v>143.90260707227614</v>
      </c>
      <c r="P60" s="10">
        <f t="shared" si="9"/>
        <v>2.7673578283130027</v>
      </c>
      <c r="Q60" s="10">
        <f t="shared" si="10"/>
        <v>467.50434866732741</v>
      </c>
      <c r="R60" s="10">
        <f t="shared" si="11"/>
        <v>8.9904682436024501</v>
      </c>
      <c r="S60" s="6"/>
      <c r="U60" t="s">
        <v>10</v>
      </c>
    </row>
    <row r="61" spans="1:21" x14ac:dyDescent="0.25">
      <c r="A61">
        <v>53</v>
      </c>
      <c r="B61" s="1">
        <f t="shared" si="12"/>
        <v>5300000000</v>
      </c>
      <c r="C61" s="1">
        <v>384010</v>
      </c>
      <c r="D61" s="1">
        <v>65820</v>
      </c>
      <c r="E61" s="1">
        <v>46080</v>
      </c>
      <c r="F61" s="6">
        <f t="shared" si="0"/>
        <v>27603447.826879509</v>
      </c>
      <c r="G61" s="6">
        <f t="shared" si="1"/>
        <v>161045274.99240351</v>
      </c>
      <c r="H61" s="6">
        <f t="shared" si="2"/>
        <v>230034722.22222221</v>
      </c>
      <c r="I61" s="6">
        <f t="shared" si="3"/>
        <v>520819.77031848131</v>
      </c>
      <c r="J61" s="6">
        <f t="shared" si="4"/>
        <v>3038590.0941962926</v>
      </c>
      <c r="K61" s="6">
        <f t="shared" si="5"/>
        <v>4340277.777777778</v>
      </c>
      <c r="L61" s="6">
        <f t="shared" si="13"/>
        <v>472179392.15400064</v>
      </c>
      <c r="M61" s="6">
        <f t="shared" si="7"/>
        <v>8909045.1349811442</v>
      </c>
      <c r="N61" s="6"/>
      <c r="O61" s="10">
        <f t="shared" si="8"/>
        <v>139.56114834716843</v>
      </c>
      <c r="P61" s="10">
        <f t="shared" si="9"/>
        <v>2.6332292140975171</v>
      </c>
      <c r="Q61" s="10">
        <f t="shared" si="10"/>
        <v>472.17939215400065</v>
      </c>
      <c r="R61" s="10">
        <f t="shared" si="11"/>
        <v>8.9090451349811435</v>
      </c>
      <c r="S61" s="6"/>
    </row>
    <row r="62" spans="1:21" x14ac:dyDescent="0.25">
      <c r="A62">
        <v>54</v>
      </c>
      <c r="B62" s="1">
        <f t="shared" si="12"/>
        <v>5400000000</v>
      </c>
      <c r="C62" s="1">
        <v>54130</v>
      </c>
      <c r="D62" s="1">
        <v>42380</v>
      </c>
      <c r="E62" s="1">
        <v>390200</v>
      </c>
      <c r="F62" s="6">
        <f t="shared" si="0"/>
        <v>199519674.85682616</v>
      </c>
      <c r="G62" s="6">
        <f t="shared" si="1"/>
        <v>254837187.35252479</v>
      </c>
      <c r="H62" s="6">
        <f t="shared" si="2"/>
        <v>27678113.787801128</v>
      </c>
      <c r="I62" s="6">
        <f t="shared" si="3"/>
        <v>3694808.7936449288</v>
      </c>
      <c r="J62" s="6">
        <f t="shared" si="4"/>
        <v>4719207.1731949039</v>
      </c>
      <c r="K62" s="6">
        <f t="shared" si="5"/>
        <v>512557.66273705795</v>
      </c>
      <c r="L62" s="6">
        <f t="shared" si="13"/>
        <v>476854435.64067394</v>
      </c>
      <c r="M62" s="6">
        <f t="shared" si="7"/>
        <v>8830637.6970495172</v>
      </c>
      <c r="N62" s="6"/>
      <c r="O62" s="10">
        <f t="shared" si="8"/>
        <v>160.67832533238402</v>
      </c>
      <c r="P62" s="10">
        <f t="shared" si="9"/>
        <v>2.9755245431922974</v>
      </c>
      <c r="Q62" s="10">
        <f t="shared" si="10"/>
        <v>476.85443564067396</v>
      </c>
      <c r="R62" s="10">
        <f t="shared" si="11"/>
        <v>8.830637697049518</v>
      </c>
      <c r="S62" s="6"/>
      <c r="U62" t="s">
        <v>9</v>
      </c>
    </row>
    <row r="63" spans="1:21" x14ac:dyDescent="0.25">
      <c r="A63">
        <v>55</v>
      </c>
      <c r="B63" s="1">
        <f t="shared" si="12"/>
        <v>5500000000</v>
      </c>
      <c r="C63" s="1">
        <v>81880</v>
      </c>
      <c r="D63" s="1">
        <v>95930</v>
      </c>
      <c r="E63" s="1">
        <v>85510</v>
      </c>
      <c r="F63" s="6">
        <f t="shared" si="0"/>
        <v>134342940.88910601</v>
      </c>
      <c r="G63" s="6">
        <f t="shared" si="1"/>
        <v>114666944.64713855</v>
      </c>
      <c r="H63" s="6">
        <f t="shared" si="2"/>
        <v>128639925.15495265</v>
      </c>
      <c r="I63" s="6">
        <f t="shared" si="3"/>
        <v>2442598.925256473</v>
      </c>
      <c r="J63" s="6">
        <f t="shared" si="4"/>
        <v>2084853.5390388828</v>
      </c>
      <c r="K63" s="6">
        <f t="shared" si="5"/>
        <v>2338907.7300900482</v>
      </c>
      <c r="L63" s="6">
        <f t="shared" si="13"/>
        <v>481529479.12734723</v>
      </c>
      <c r="M63" s="6">
        <f t="shared" si="7"/>
        <v>8755081.4386790413</v>
      </c>
      <c r="N63" s="6"/>
      <c r="O63" s="10">
        <f t="shared" si="8"/>
        <v>125.88327023039908</v>
      </c>
      <c r="P63" s="10">
        <f t="shared" si="9"/>
        <v>2.2887867314618009</v>
      </c>
      <c r="Q63" s="10">
        <f t="shared" si="10"/>
        <v>481.52947912734726</v>
      </c>
      <c r="R63" s="10">
        <f t="shared" si="11"/>
        <v>8.7550814386790421</v>
      </c>
      <c r="S63" s="6"/>
    </row>
    <row r="64" spans="1:21" x14ac:dyDescent="0.25">
      <c r="A64">
        <v>56</v>
      </c>
      <c r="B64" s="1">
        <f t="shared" si="12"/>
        <v>5600000000</v>
      </c>
      <c r="C64" s="1">
        <v>405230</v>
      </c>
      <c r="D64" s="1">
        <v>526980</v>
      </c>
      <c r="E64" s="1">
        <v>52310</v>
      </c>
      <c r="F64" s="6">
        <f t="shared" si="0"/>
        <v>27638624.978407323</v>
      </c>
      <c r="G64" s="6">
        <f t="shared" si="1"/>
        <v>21253178.488747202</v>
      </c>
      <c r="H64" s="6">
        <f t="shared" si="2"/>
        <v>214108201.1087746</v>
      </c>
      <c r="I64" s="6">
        <f t="shared" si="3"/>
        <v>493546.87461441651</v>
      </c>
      <c r="J64" s="6">
        <f t="shared" si="4"/>
        <v>379521.0444419143</v>
      </c>
      <c r="K64" s="6">
        <f t="shared" si="5"/>
        <v>3823360.7340852609</v>
      </c>
      <c r="L64" s="6">
        <f t="shared" si="13"/>
        <v>486204522.61402047</v>
      </c>
      <c r="M64" s="6">
        <f t="shared" si="7"/>
        <v>8682223.6181075089</v>
      </c>
      <c r="N64" s="6"/>
      <c r="O64" s="10">
        <f t="shared" si="8"/>
        <v>87.666668191976385</v>
      </c>
      <c r="P64" s="10">
        <f t="shared" si="9"/>
        <v>1.5654762177138639</v>
      </c>
      <c r="Q64" s="10">
        <f t="shared" si="10"/>
        <v>486.20452261402045</v>
      </c>
      <c r="R64" s="10">
        <f t="shared" si="11"/>
        <v>8.6822236181075088</v>
      </c>
      <c r="S64" s="6"/>
    </row>
    <row r="65" spans="1:19" x14ac:dyDescent="0.25">
      <c r="A65">
        <v>57</v>
      </c>
      <c r="B65" s="1">
        <f t="shared" si="12"/>
        <v>5700000000</v>
      </c>
      <c r="C65" s="1">
        <v>35890</v>
      </c>
      <c r="D65" s="1">
        <v>58740</v>
      </c>
      <c r="E65" s="1">
        <v>549240</v>
      </c>
      <c r="F65" s="6">
        <f t="shared" si="0"/>
        <v>317637224.85371971</v>
      </c>
      <c r="G65" s="6">
        <f t="shared" si="1"/>
        <v>194075587.3340143</v>
      </c>
      <c r="H65" s="6">
        <f t="shared" si="2"/>
        <v>20755953.681450732</v>
      </c>
      <c r="I65" s="6">
        <f t="shared" si="3"/>
        <v>5572582.8921705214</v>
      </c>
      <c r="J65" s="6">
        <f t="shared" si="4"/>
        <v>3404834.865509023</v>
      </c>
      <c r="K65" s="6">
        <f t="shared" si="5"/>
        <v>364139.53827106545</v>
      </c>
      <c r="L65" s="6">
        <f t="shared" si="13"/>
        <v>490879566.10069376</v>
      </c>
      <c r="M65" s="6">
        <f t="shared" si="7"/>
        <v>8611922.2122928724</v>
      </c>
      <c r="N65" s="6"/>
      <c r="O65" s="10">
        <f t="shared" si="8"/>
        <v>177.48958862306156</v>
      </c>
      <c r="P65" s="10">
        <f t="shared" si="9"/>
        <v>3.1138524319835366</v>
      </c>
      <c r="Q65" s="10">
        <f t="shared" si="10"/>
        <v>490.87956610069375</v>
      </c>
      <c r="R65" s="10">
        <f t="shared" si="11"/>
        <v>8.6119222122928729</v>
      </c>
      <c r="S65" s="6"/>
    </row>
    <row r="66" spans="1:19" x14ac:dyDescent="0.25">
      <c r="A66">
        <v>58</v>
      </c>
      <c r="B66" s="1">
        <f t="shared" si="12"/>
        <v>5800000000</v>
      </c>
      <c r="C66" s="1">
        <v>98200</v>
      </c>
      <c r="D66" s="1">
        <v>302860</v>
      </c>
      <c r="E66" s="1">
        <v>62010</v>
      </c>
      <c r="F66" s="6">
        <f t="shared" si="0"/>
        <v>118126272.91242363</v>
      </c>
      <c r="G66" s="6">
        <f t="shared" si="1"/>
        <v>38301525.457307003</v>
      </c>
      <c r="H66" s="6">
        <f t="shared" si="2"/>
        <v>187066602.16094178</v>
      </c>
      <c r="I66" s="6">
        <f t="shared" si="3"/>
        <v>2036659.8778004074</v>
      </c>
      <c r="J66" s="6">
        <f t="shared" si="4"/>
        <v>660371.12857425865</v>
      </c>
      <c r="K66" s="6">
        <f t="shared" si="5"/>
        <v>3225286.2441541688</v>
      </c>
      <c r="L66" s="6">
        <f t="shared" si="13"/>
        <v>495554609.58736706</v>
      </c>
      <c r="M66" s="6">
        <f t="shared" si="7"/>
        <v>8544044.992885638</v>
      </c>
      <c r="N66" s="6"/>
      <c r="O66" s="10">
        <f t="shared" si="8"/>
        <v>114.49813351022415</v>
      </c>
      <c r="P66" s="10">
        <f t="shared" si="9"/>
        <v>1.9741057501762782</v>
      </c>
      <c r="Q66" s="10">
        <f t="shared" si="10"/>
        <v>495.55460958736705</v>
      </c>
      <c r="R66" s="10">
        <f t="shared" si="11"/>
        <v>8.5440449928856381</v>
      </c>
      <c r="S66" s="6"/>
    </row>
    <row r="67" spans="1:19" x14ac:dyDescent="0.25">
      <c r="A67">
        <v>59</v>
      </c>
      <c r="B67" s="1">
        <f t="shared" si="12"/>
        <v>5900000000</v>
      </c>
      <c r="C67" s="1">
        <v>102160</v>
      </c>
      <c r="D67" s="1">
        <v>80410</v>
      </c>
      <c r="E67" s="1">
        <v>56330</v>
      </c>
      <c r="F67" s="6">
        <f t="shared" si="0"/>
        <v>115505090.05481596</v>
      </c>
      <c r="G67" s="6">
        <f t="shared" si="1"/>
        <v>146747916.9257555</v>
      </c>
      <c r="H67" s="6">
        <f t="shared" si="2"/>
        <v>209479850.87875023</v>
      </c>
      <c r="I67" s="6">
        <f t="shared" si="3"/>
        <v>1957713.3907595926</v>
      </c>
      <c r="J67" s="6">
        <f t="shared" si="4"/>
        <v>2487252.8292500931</v>
      </c>
      <c r="K67" s="6">
        <f t="shared" si="5"/>
        <v>3550505.9470974617</v>
      </c>
      <c r="L67" s="6">
        <f t="shared" si="13"/>
        <v>500229653.07404029</v>
      </c>
      <c r="M67" s="6">
        <f t="shared" si="7"/>
        <v>8478468.6961701736</v>
      </c>
      <c r="N67" s="6"/>
      <c r="O67" s="10">
        <f t="shared" si="8"/>
        <v>157.24428595310724</v>
      </c>
      <c r="P67" s="10">
        <f t="shared" si="9"/>
        <v>2.6651573890357159</v>
      </c>
      <c r="Q67" s="10">
        <f t="shared" si="10"/>
        <v>500.2296530740403</v>
      </c>
      <c r="R67" s="10">
        <f t="shared" si="11"/>
        <v>8.4784686961701734</v>
      </c>
      <c r="S67" s="6"/>
    </row>
    <row r="68" spans="1:19" x14ac:dyDescent="0.25">
      <c r="A68">
        <v>60</v>
      </c>
      <c r="B68" s="1">
        <f t="shared" si="12"/>
        <v>6000000000</v>
      </c>
      <c r="C68" s="1">
        <v>66940</v>
      </c>
      <c r="D68" s="1">
        <v>65910</v>
      </c>
      <c r="E68" s="1">
        <v>76210</v>
      </c>
      <c r="F68" s="6">
        <f t="shared" si="0"/>
        <v>179265013.44487602</v>
      </c>
      <c r="G68" s="6">
        <f t="shared" si="1"/>
        <v>182066454.25580338</v>
      </c>
      <c r="H68" s="6">
        <f t="shared" si="2"/>
        <v>157459650.96444038</v>
      </c>
      <c r="I68" s="6">
        <f t="shared" si="3"/>
        <v>2987750.2240812671</v>
      </c>
      <c r="J68" s="6">
        <f t="shared" si="4"/>
        <v>3034440.9042633898</v>
      </c>
      <c r="K68" s="6">
        <f t="shared" si="5"/>
        <v>2624327.5160740064</v>
      </c>
      <c r="L68" s="6">
        <f t="shared" si="13"/>
        <v>504904696.56071359</v>
      </c>
      <c r="M68" s="6">
        <f t="shared" si="7"/>
        <v>8415078.2760118935</v>
      </c>
      <c r="N68" s="6"/>
      <c r="O68" s="10">
        <f t="shared" si="8"/>
        <v>172.93037288837326</v>
      </c>
      <c r="P68" s="10">
        <f t="shared" si="9"/>
        <v>2.8821728814728877</v>
      </c>
      <c r="Q68" s="10">
        <f t="shared" si="10"/>
        <v>504.9046965607136</v>
      </c>
      <c r="R68" s="10">
        <f t="shared" si="11"/>
        <v>8.4150782760118936</v>
      </c>
      <c r="S68" s="6"/>
    </row>
    <row r="69" spans="1:19" x14ac:dyDescent="0.25">
      <c r="A69">
        <v>61</v>
      </c>
      <c r="B69" s="1">
        <f t="shared" si="12"/>
        <v>6100000000</v>
      </c>
      <c r="C69" s="1">
        <v>424990</v>
      </c>
      <c r="D69" s="1">
        <v>55250</v>
      </c>
      <c r="E69" s="1">
        <v>772310</v>
      </c>
      <c r="F69" s="6">
        <f t="shared" si="0"/>
        <v>28706557.801360033</v>
      </c>
      <c r="G69" s="6">
        <f t="shared" si="1"/>
        <v>220814479.63800904</v>
      </c>
      <c r="H69" s="6">
        <f t="shared" si="2"/>
        <v>15796765.547513304</v>
      </c>
      <c r="I69" s="6">
        <f t="shared" si="3"/>
        <v>470599.30821901694</v>
      </c>
      <c r="J69" s="6">
        <f t="shared" si="4"/>
        <v>3619909.5022624433</v>
      </c>
      <c r="K69" s="6">
        <f t="shared" si="5"/>
        <v>258963.36963136564</v>
      </c>
      <c r="L69" s="6">
        <f t="shared" si="13"/>
        <v>509579740.04738688</v>
      </c>
      <c r="M69" s="6">
        <f t="shared" si="7"/>
        <v>8353766.2302850308</v>
      </c>
      <c r="N69" s="6"/>
      <c r="O69" s="10">
        <f t="shared" si="8"/>
        <v>88.439267662294128</v>
      </c>
      <c r="P69" s="10">
        <f t="shared" si="9"/>
        <v>1.4498240600376084</v>
      </c>
      <c r="Q69" s="10">
        <f t="shared" si="10"/>
        <v>509.57974004738691</v>
      </c>
      <c r="R69" s="10">
        <f t="shared" si="11"/>
        <v>8.3537662302850304</v>
      </c>
      <c r="S69" s="6"/>
    </row>
    <row r="70" spans="1:19" x14ac:dyDescent="0.25">
      <c r="A70">
        <v>62</v>
      </c>
      <c r="B70" s="1">
        <f t="shared" si="12"/>
        <v>6200000000</v>
      </c>
      <c r="C70" s="1">
        <v>41450</v>
      </c>
      <c r="D70" s="1">
        <v>61450</v>
      </c>
      <c r="E70" s="1">
        <v>55140</v>
      </c>
      <c r="F70" s="6">
        <f t="shared" si="0"/>
        <v>299155609.16767186</v>
      </c>
      <c r="G70" s="6">
        <f t="shared" si="1"/>
        <v>201790073.23026851</v>
      </c>
      <c r="H70" s="6">
        <f t="shared" si="2"/>
        <v>224882118.2444686</v>
      </c>
      <c r="I70" s="6">
        <f t="shared" si="3"/>
        <v>4825090.4704463203</v>
      </c>
      <c r="J70" s="6">
        <f t="shared" si="4"/>
        <v>3254678.6004882017</v>
      </c>
      <c r="K70" s="6">
        <f t="shared" si="5"/>
        <v>3627130.9394269129</v>
      </c>
      <c r="L70" s="6">
        <f t="shared" si="13"/>
        <v>514254783.53406012</v>
      </c>
      <c r="M70" s="6">
        <f t="shared" si="7"/>
        <v>8294431.9924848406</v>
      </c>
      <c r="N70" s="6"/>
      <c r="O70" s="10">
        <f t="shared" si="8"/>
        <v>241.94260021413632</v>
      </c>
      <c r="P70" s="10">
        <f t="shared" si="9"/>
        <v>3.9023000034538118</v>
      </c>
      <c r="Q70" s="10">
        <f t="shared" si="10"/>
        <v>514.25478353406015</v>
      </c>
      <c r="R70" s="10">
        <f t="shared" si="11"/>
        <v>8.2944319924848404</v>
      </c>
      <c r="S70" s="6"/>
    </row>
    <row r="71" spans="1:19" x14ac:dyDescent="0.25">
      <c r="A71">
        <v>63</v>
      </c>
      <c r="B71" s="1">
        <f t="shared" si="12"/>
        <v>6300000000</v>
      </c>
      <c r="C71" s="1">
        <v>443070</v>
      </c>
      <c r="D71" s="1">
        <v>78580</v>
      </c>
      <c r="E71" s="1">
        <v>83310</v>
      </c>
      <c r="F71" s="6">
        <f t="shared" si="0"/>
        <v>28437944.342880357</v>
      </c>
      <c r="G71" s="6">
        <f t="shared" si="1"/>
        <v>160346144.05701196</v>
      </c>
      <c r="H71" s="6">
        <f t="shared" si="2"/>
        <v>151242347.85740009</v>
      </c>
      <c r="I71" s="6">
        <f t="shared" si="3"/>
        <v>451395.94195048185</v>
      </c>
      <c r="J71" s="6">
        <f t="shared" si="4"/>
        <v>2545176.8897938407</v>
      </c>
      <c r="K71" s="6">
        <f t="shared" si="5"/>
        <v>2400672.1882126997</v>
      </c>
      <c r="L71" s="6">
        <f t="shared" si="13"/>
        <v>518929827.02073336</v>
      </c>
      <c r="M71" s="6">
        <f t="shared" si="7"/>
        <v>8236981.3812814821</v>
      </c>
      <c r="N71" s="6"/>
      <c r="O71" s="10">
        <f t="shared" si="8"/>
        <v>113.34214541909746</v>
      </c>
      <c r="P71" s="10">
        <f t="shared" si="9"/>
        <v>1.7990816733190076</v>
      </c>
      <c r="Q71" s="10">
        <f t="shared" si="10"/>
        <v>518.92982702073334</v>
      </c>
      <c r="R71" s="10">
        <f t="shared" si="11"/>
        <v>8.2369813812814829</v>
      </c>
      <c r="S71" s="6"/>
    </row>
    <row r="72" spans="1:19" x14ac:dyDescent="0.25">
      <c r="A72">
        <v>64</v>
      </c>
      <c r="B72" s="1">
        <f t="shared" si="12"/>
        <v>6400000000</v>
      </c>
      <c r="C72" s="1">
        <v>61490</v>
      </c>
      <c r="D72" s="1">
        <v>53980</v>
      </c>
      <c r="E72" s="1">
        <v>59920</v>
      </c>
      <c r="F72" s="6">
        <f t="shared" si="0"/>
        <v>208163929.09416166</v>
      </c>
      <c r="G72" s="6">
        <f t="shared" si="1"/>
        <v>237124861.0596517</v>
      </c>
      <c r="H72" s="6">
        <f t="shared" si="2"/>
        <v>213618157.5433912</v>
      </c>
      <c r="I72" s="6">
        <f t="shared" si="3"/>
        <v>3252561.3920962759</v>
      </c>
      <c r="J72" s="6">
        <f t="shared" si="4"/>
        <v>3705075.9540570579</v>
      </c>
      <c r="K72" s="6">
        <f t="shared" si="5"/>
        <v>3337783.7116154875</v>
      </c>
      <c r="L72" s="6">
        <f t="shared" si="13"/>
        <v>523604870.50740671</v>
      </c>
      <c r="M72" s="6">
        <f t="shared" si="7"/>
        <v>8181326.1016782299</v>
      </c>
      <c r="N72" s="6"/>
      <c r="O72" s="10">
        <f t="shared" si="8"/>
        <v>219.63564923240153</v>
      </c>
      <c r="P72" s="10">
        <f t="shared" si="9"/>
        <v>3.431807019256274</v>
      </c>
      <c r="Q72" s="10">
        <f t="shared" si="10"/>
        <v>523.60487050740676</v>
      </c>
      <c r="R72" s="10">
        <f t="shared" si="11"/>
        <v>8.1813261016782306</v>
      </c>
      <c r="S72" s="6"/>
    </row>
    <row r="73" spans="1:19" x14ac:dyDescent="0.25">
      <c r="A73">
        <v>65</v>
      </c>
      <c r="B73" s="1">
        <f t="shared" si="12"/>
        <v>6500000000</v>
      </c>
      <c r="C73" s="1">
        <v>85720</v>
      </c>
      <c r="D73" s="1">
        <v>61350</v>
      </c>
      <c r="E73" s="1">
        <v>81720</v>
      </c>
      <c r="F73" s="6">
        <f t="shared" si="0"/>
        <v>151656556.22958469</v>
      </c>
      <c r="G73" s="6">
        <f t="shared" si="1"/>
        <v>211898940.50529748</v>
      </c>
      <c r="H73" s="6">
        <f t="shared" si="2"/>
        <v>159079784.63044542</v>
      </c>
      <c r="I73" s="6">
        <f t="shared" si="3"/>
        <v>2333177.7881474569</v>
      </c>
      <c r="J73" s="6">
        <f t="shared" si="4"/>
        <v>3259983.7000814998</v>
      </c>
      <c r="K73" s="6">
        <f t="shared" si="5"/>
        <v>2447381.3020068528</v>
      </c>
      <c r="L73" s="6">
        <f>$L$72</f>
        <v>523604870.50740671</v>
      </c>
      <c r="M73" s="6">
        <f t="shared" si="7"/>
        <v>8055459.5462677954</v>
      </c>
      <c r="N73" s="6"/>
      <c r="O73" s="10">
        <f t="shared" si="8"/>
        <v>174.21176045510921</v>
      </c>
      <c r="P73" s="10">
        <f t="shared" si="9"/>
        <v>2.680180930078603</v>
      </c>
      <c r="Q73" s="10">
        <f t="shared" si="10"/>
        <v>523.60487050740676</v>
      </c>
      <c r="R73" s="10">
        <f t="shared" si="11"/>
        <v>8.0554595462677963</v>
      </c>
      <c r="S73" s="6"/>
    </row>
    <row r="74" spans="1:19" x14ac:dyDescent="0.25">
      <c r="A74">
        <v>66</v>
      </c>
      <c r="B74" s="1">
        <f t="shared" si="12"/>
        <v>6600000000</v>
      </c>
      <c r="C74" s="1">
        <v>79450</v>
      </c>
      <c r="D74" s="1">
        <v>97130</v>
      </c>
      <c r="E74" s="1">
        <v>67490</v>
      </c>
      <c r="F74" s="6">
        <f t="shared" ref="F74:F88" si="14">B74*2/C74*1000</f>
        <v>166142227.81623662</v>
      </c>
      <c r="G74" s="6">
        <f t="shared" ref="G74:G88" si="15">B74*2/D74*1000</f>
        <v>135900339.75084937</v>
      </c>
      <c r="H74" s="6">
        <f t="shared" ref="H74:H88" si="16">B74*2/E74*1000</f>
        <v>195584531.04163581</v>
      </c>
      <c r="I74" s="6">
        <f t="shared" ref="I74:I88" si="17">F74/A74</f>
        <v>2517306.4820641913</v>
      </c>
      <c r="J74" s="6">
        <f t="shared" ref="J74:J88" si="18">G74/A74</f>
        <v>2059096.0568310509</v>
      </c>
      <c r="K74" s="6">
        <f t="shared" ref="K74:K88" si="19">H74/A74</f>
        <v>2963401.9854793306</v>
      </c>
      <c r="L74" s="6">
        <f t="shared" ref="L74:L88" si="20">$L$72</f>
        <v>523604870.50740671</v>
      </c>
      <c r="M74" s="6">
        <f t="shared" si="7"/>
        <v>7933407.1289001014</v>
      </c>
      <c r="N74" s="6"/>
      <c r="O74" s="10">
        <f t="shared" ref="O74:O88" si="21">(F74+G74+H74)/3/1000000</f>
        <v>165.8756995362406</v>
      </c>
      <c r="P74" s="10">
        <f t="shared" ref="P74:P88" si="22">(I74+J74+K74)/3/1000000</f>
        <v>2.513268174791524</v>
      </c>
      <c r="Q74" s="10">
        <f t="shared" ref="Q74:Q88" si="23">L74/1000000</f>
        <v>523.60487050740676</v>
      </c>
      <c r="R74" s="10">
        <f t="shared" ref="R74:R88" si="24">M74/1000000</f>
        <v>7.9334071289001011</v>
      </c>
      <c r="S74" s="6"/>
    </row>
    <row r="75" spans="1:19" x14ac:dyDescent="0.25">
      <c r="A75">
        <v>67</v>
      </c>
      <c r="B75" s="1">
        <f t="shared" ref="B75:B88" si="25">$B$9*A75</f>
        <v>6700000000</v>
      </c>
      <c r="C75" s="1">
        <v>67720</v>
      </c>
      <c r="D75" s="1">
        <v>110300</v>
      </c>
      <c r="E75" s="1">
        <v>48960</v>
      </c>
      <c r="F75" s="6">
        <f t="shared" si="14"/>
        <v>197873597.16479623</v>
      </c>
      <c r="G75" s="6">
        <f t="shared" si="15"/>
        <v>121486854.03445148</v>
      </c>
      <c r="H75" s="6">
        <f t="shared" si="16"/>
        <v>273692810.45751637</v>
      </c>
      <c r="I75" s="6">
        <f t="shared" si="17"/>
        <v>2953337.2711163615</v>
      </c>
      <c r="J75" s="6">
        <f t="shared" si="18"/>
        <v>1813236.6273798728</v>
      </c>
      <c r="K75" s="6">
        <f t="shared" si="19"/>
        <v>4084967.3202614384</v>
      </c>
      <c r="L75" s="6">
        <f t="shared" si="20"/>
        <v>523604870.50740671</v>
      </c>
      <c r="M75" s="6">
        <f t="shared" ref="M75:M88" si="26">L75/A75</f>
        <v>7814998.0672747269</v>
      </c>
      <c r="N75" s="6"/>
      <c r="O75" s="10">
        <f t="shared" si="21"/>
        <v>197.68442055225466</v>
      </c>
      <c r="P75" s="10">
        <f t="shared" si="22"/>
        <v>2.9505137395858916</v>
      </c>
      <c r="Q75" s="10">
        <f t="shared" si="23"/>
        <v>523.60487050740676</v>
      </c>
      <c r="R75" s="10">
        <f t="shared" si="24"/>
        <v>7.8149980672747272</v>
      </c>
      <c r="S75" s="6"/>
    </row>
    <row r="76" spans="1:19" x14ac:dyDescent="0.25">
      <c r="A76">
        <v>68</v>
      </c>
      <c r="B76" s="1">
        <f t="shared" si="25"/>
        <v>6800000000</v>
      </c>
      <c r="C76" s="1">
        <v>282570</v>
      </c>
      <c r="D76" s="1">
        <v>56080</v>
      </c>
      <c r="E76" s="1">
        <v>44840</v>
      </c>
      <c r="F76" s="6">
        <f t="shared" si="14"/>
        <v>48129666.985171817</v>
      </c>
      <c r="G76" s="6">
        <f t="shared" si="15"/>
        <v>242510699.00142655</v>
      </c>
      <c r="H76" s="6">
        <f t="shared" si="16"/>
        <v>303300624.44246209</v>
      </c>
      <c r="I76" s="6">
        <f t="shared" si="17"/>
        <v>707789.2203701738</v>
      </c>
      <c r="J76" s="6">
        <f t="shared" si="18"/>
        <v>3566333.8088445081</v>
      </c>
      <c r="K76" s="6">
        <f t="shared" si="19"/>
        <v>4460303.3006244423</v>
      </c>
      <c r="L76" s="6">
        <f t="shared" si="20"/>
        <v>523604870.50740671</v>
      </c>
      <c r="M76" s="6">
        <f t="shared" si="26"/>
        <v>7700071.6251089219</v>
      </c>
      <c r="N76" s="6"/>
      <c r="O76" s="10">
        <f t="shared" si="21"/>
        <v>197.98033014302015</v>
      </c>
      <c r="P76" s="10">
        <f t="shared" si="22"/>
        <v>2.9114754432797083</v>
      </c>
      <c r="Q76" s="10">
        <f t="shared" si="23"/>
        <v>523.60487050740676</v>
      </c>
      <c r="R76" s="10">
        <f t="shared" si="24"/>
        <v>7.7000716251089223</v>
      </c>
      <c r="S76" s="6"/>
    </row>
    <row r="77" spans="1:19" x14ac:dyDescent="0.25">
      <c r="A77">
        <v>69</v>
      </c>
      <c r="B77" s="1">
        <f t="shared" si="25"/>
        <v>6900000000</v>
      </c>
      <c r="C77" s="1">
        <v>88170</v>
      </c>
      <c r="D77" s="1">
        <v>70290</v>
      </c>
      <c r="E77" s="1">
        <v>84910</v>
      </c>
      <c r="F77" s="6">
        <f t="shared" si="14"/>
        <v>156515821.70806396</v>
      </c>
      <c r="G77" s="6">
        <f t="shared" si="15"/>
        <v>196329492.10413998</v>
      </c>
      <c r="H77" s="6">
        <f t="shared" si="16"/>
        <v>162525026.49864563</v>
      </c>
      <c r="I77" s="6">
        <f t="shared" si="17"/>
        <v>2268345.2421458545</v>
      </c>
      <c r="J77" s="6">
        <f t="shared" si="18"/>
        <v>2845354.9580310141</v>
      </c>
      <c r="K77" s="6">
        <f t="shared" si="19"/>
        <v>2355435.166647038</v>
      </c>
      <c r="L77" s="6">
        <f t="shared" si="20"/>
        <v>523604870.50740671</v>
      </c>
      <c r="M77" s="6">
        <f t="shared" si="26"/>
        <v>7588476.384165315</v>
      </c>
      <c r="N77" s="6"/>
      <c r="O77" s="10">
        <f t="shared" si="21"/>
        <v>171.79011343694984</v>
      </c>
      <c r="P77" s="10">
        <f t="shared" si="22"/>
        <v>2.4897117889413019</v>
      </c>
      <c r="Q77" s="10">
        <f t="shared" si="23"/>
        <v>523.60487050740676</v>
      </c>
      <c r="R77" s="10">
        <f t="shared" si="24"/>
        <v>7.5884763841653147</v>
      </c>
      <c r="S77" s="6"/>
    </row>
    <row r="78" spans="1:19" x14ac:dyDescent="0.25">
      <c r="A78">
        <v>70</v>
      </c>
      <c r="B78" s="1">
        <f t="shared" si="25"/>
        <v>7000000000</v>
      </c>
      <c r="C78" s="1">
        <v>65890</v>
      </c>
      <c r="D78" s="1">
        <v>39250</v>
      </c>
      <c r="E78" s="1">
        <v>82120</v>
      </c>
      <c r="F78" s="6">
        <f t="shared" si="14"/>
        <v>212475337.68401882</v>
      </c>
      <c r="G78" s="6">
        <f t="shared" si="15"/>
        <v>356687898.08917195</v>
      </c>
      <c r="H78" s="6">
        <f t="shared" si="16"/>
        <v>170482221.13979542</v>
      </c>
      <c r="I78" s="6">
        <f t="shared" si="17"/>
        <v>3035361.9669145546</v>
      </c>
      <c r="J78" s="6">
        <f t="shared" si="18"/>
        <v>5095541.4012738848</v>
      </c>
      <c r="K78" s="6">
        <f t="shared" si="19"/>
        <v>2435460.3019970777</v>
      </c>
      <c r="L78" s="6">
        <f t="shared" si="20"/>
        <v>523604870.50740671</v>
      </c>
      <c r="M78" s="6">
        <f t="shared" si="26"/>
        <v>7480069.5786772389</v>
      </c>
      <c r="N78" s="6"/>
      <c r="O78" s="10">
        <f t="shared" si="21"/>
        <v>246.54848563766205</v>
      </c>
      <c r="P78" s="10">
        <f t="shared" si="22"/>
        <v>3.5221212233951724</v>
      </c>
      <c r="Q78" s="10">
        <f t="shared" si="23"/>
        <v>523.60487050740676</v>
      </c>
      <c r="R78" s="10">
        <f t="shared" si="24"/>
        <v>7.4800695786772389</v>
      </c>
      <c r="S78" s="6"/>
    </row>
    <row r="79" spans="1:19" x14ac:dyDescent="0.25">
      <c r="A79">
        <v>71</v>
      </c>
      <c r="B79" s="1">
        <f t="shared" si="25"/>
        <v>7100000000</v>
      </c>
      <c r="C79" s="1">
        <v>105070</v>
      </c>
      <c r="D79" s="1">
        <v>59080</v>
      </c>
      <c r="E79" s="1">
        <v>85940</v>
      </c>
      <c r="F79" s="6">
        <f t="shared" si="14"/>
        <v>135147996.57371277</v>
      </c>
      <c r="G79" s="6">
        <f t="shared" si="15"/>
        <v>240352064.99661475</v>
      </c>
      <c r="H79" s="6">
        <f t="shared" si="16"/>
        <v>165231556.90016288</v>
      </c>
      <c r="I79" s="6">
        <f t="shared" si="17"/>
        <v>1903492.9094889122</v>
      </c>
      <c r="J79" s="6">
        <f t="shared" si="18"/>
        <v>3385240.3520649965</v>
      </c>
      <c r="K79" s="6">
        <f t="shared" si="19"/>
        <v>2327205.0267628576</v>
      </c>
      <c r="L79" s="6">
        <f t="shared" si="20"/>
        <v>523604870.50740671</v>
      </c>
      <c r="M79" s="6">
        <f t="shared" si="26"/>
        <v>7374716.4860198125</v>
      </c>
      <c r="N79" s="6"/>
      <c r="O79" s="10">
        <f t="shared" si="21"/>
        <v>180.24387282349682</v>
      </c>
      <c r="P79" s="10">
        <f t="shared" si="22"/>
        <v>2.5386460961055888</v>
      </c>
      <c r="Q79" s="10">
        <f t="shared" si="23"/>
        <v>523.60487050740676</v>
      </c>
      <c r="R79" s="10">
        <f t="shared" si="24"/>
        <v>7.3747164860198122</v>
      </c>
      <c r="S79" s="6"/>
    </row>
    <row r="80" spans="1:19" x14ac:dyDescent="0.25">
      <c r="A80">
        <v>72</v>
      </c>
      <c r="B80" s="1">
        <f t="shared" si="25"/>
        <v>7200000000</v>
      </c>
      <c r="C80" s="1">
        <v>91540</v>
      </c>
      <c r="D80" s="1">
        <v>79470</v>
      </c>
      <c r="E80" s="1">
        <v>84120</v>
      </c>
      <c r="F80" s="6">
        <f t="shared" si="14"/>
        <v>157308280.53310028</v>
      </c>
      <c r="G80" s="6">
        <f t="shared" si="15"/>
        <v>181200453.00113249</v>
      </c>
      <c r="H80" s="6">
        <f t="shared" si="16"/>
        <v>171184022.82453638</v>
      </c>
      <c r="I80" s="6">
        <f t="shared" si="17"/>
        <v>2184837.2296263929</v>
      </c>
      <c r="J80" s="6">
        <f t="shared" si="18"/>
        <v>2516672.9583490621</v>
      </c>
      <c r="K80" s="6">
        <f t="shared" si="19"/>
        <v>2377555.8725630054</v>
      </c>
      <c r="L80" s="6">
        <f t="shared" si="20"/>
        <v>523604870.50740671</v>
      </c>
      <c r="M80" s="6">
        <f t="shared" si="26"/>
        <v>7272289.8681584261</v>
      </c>
      <c r="N80" s="6"/>
      <c r="O80" s="10">
        <f t="shared" si="21"/>
        <v>169.89758545292304</v>
      </c>
      <c r="P80" s="10">
        <f t="shared" si="22"/>
        <v>2.3596886868461535</v>
      </c>
      <c r="Q80" s="10">
        <f t="shared" si="23"/>
        <v>523.60487050740676</v>
      </c>
      <c r="R80" s="10">
        <f t="shared" si="24"/>
        <v>7.2722898681584258</v>
      </c>
      <c r="S80" s="6"/>
    </row>
    <row r="81" spans="1:19" x14ac:dyDescent="0.25">
      <c r="A81">
        <v>73</v>
      </c>
      <c r="B81" s="1">
        <f t="shared" si="25"/>
        <v>7300000000</v>
      </c>
      <c r="C81" s="1">
        <v>79960</v>
      </c>
      <c r="D81" s="1">
        <v>90700</v>
      </c>
      <c r="E81" s="1">
        <v>245420</v>
      </c>
      <c r="F81" s="6">
        <f t="shared" si="14"/>
        <v>182591295.64782393</v>
      </c>
      <c r="G81" s="6">
        <f t="shared" si="15"/>
        <v>160970231.53252479</v>
      </c>
      <c r="H81" s="6">
        <f t="shared" si="16"/>
        <v>59489854.127617963</v>
      </c>
      <c r="I81" s="6">
        <f t="shared" si="17"/>
        <v>2501250.6253126566</v>
      </c>
      <c r="J81" s="6">
        <f t="shared" si="18"/>
        <v>2205071.664829107</v>
      </c>
      <c r="K81" s="6">
        <f t="shared" si="19"/>
        <v>814929.50859750633</v>
      </c>
      <c r="L81" s="6">
        <f t="shared" si="20"/>
        <v>523604870.50740671</v>
      </c>
      <c r="M81" s="6">
        <f t="shared" si="26"/>
        <v>7172669.459005571</v>
      </c>
      <c r="N81" s="6"/>
      <c r="O81" s="10">
        <f t="shared" si="21"/>
        <v>134.35046043598891</v>
      </c>
      <c r="P81" s="10">
        <f t="shared" si="22"/>
        <v>1.8404172662464231</v>
      </c>
      <c r="Q81" s="10">
        <f t="shared" si="23"/>
        <v>523.60487050740676</v>
      </c>
      <c r="R81" s="10">
        <f t="shared" si="24"/>
        <v>7.1726694590055713</v>
      </c>
      <c r="S81" s="6"/>
    </row>
    <row r="82" spans="1:19" x14ac:dyDescent="0.25">
      <c r="A82">
        <v>74</v>
      </c>
      <c r="B82" s="1">
        <f t="shared" si="25"/>
        <v>7400000000</v>
      </c>
      <c r="C82" s="1">
        <v>51340</v>
      </c>
      <c r="D82" s="1">
        <v>41470</v>
      </c>
      <c r="E82" s="1">
        <v>80240</v>
      </c>
      <c r="F82" s="6">
        <f t="shared" si="14"/>
        <v>288274250.09739</v>
      </c>
      <c r="G82" s="6">
        <f t="shared" si="15"/>
        <v>356884494.81552935</v>
      </c>
      <c r="H82" s="6">
        <f t="shared" si="16"/>
        <v>184446660.01994017</v>
      </c>
      <c r="I82" s="6">
        <f t="shared" si="17"/>
        <v>3895597.9742890541</v>
      </c>
      <c r="J82" s="6">
        <f t="shared" si="18"/>
        <v>4822763.4434530996</v>
      </c>
      <c r="K82" s="6">
        <f t="shared" si="19"/>
        <v>2492522.4327018941</v>
      </c>
      <c r="L82" s="6">
        <f t="shared" si="20"/>
        <v>523604870.50740671</v>
      </c>
      <c r="M82" s="6">
        <f t="shared" si="26"/>
        <v>7075741.4933433337</v>
      </c>
      <c r="N82" s="6"/>
      <c r="O82" s="10">
        <f t="shared" si="21"/>
        <v>276.5351349776198</v>
      </c>
      <c r="P82" s="10">
        <f t="shared" si="22"/>
        <v>3.7369612834813495</v>
      </c>
      <c r="Q82" s="10">
        <f t="shared" si="23"/>
        <v>523.60487050740676</v>
      </c>
      <c r="R82" s="10">
        <f t="shared" si="24"/>
        <v>7.075741493343334</v>
      </c>
      <c r="S82" s="6"/>
    </row>
    <row r="83" spans="1:19" x14ac:dyDescent="0.25">
      <c r="A83">
        <v>75</v>
      </c>
      <c r="B83" s="1">
        <f t="shared" si="25"/>
        <v>7500000000</v>
      </c>
      <c r="C83" s="1">
        <v>53700</v>
      </c>
      <c r="D83" s="1">
        <v>47740</v>
      </c>
      <c r="E83" s="1">
        <v>42450</v>
      </c>
      <c r="F83" s="6">
        <f t="shared" si="14"/>
        <v>279329608.93854749</v>
      </c>
      <c r="G83" s="6">
        <f t="shared" si="15"/>
        <v>314201927.1051529</v>
      </c>
      <c r="H83" s="6">
        <f t="shared" si="16"/>
        <v>353356890.45936394</v>
      </c>
      <c r="I83" s="6">
        <f t="shared" si="17"/>
        <v>3724394.7858472997</v>
      </c>
      <c r="J83" s="6">
        <f t="shared" si="18"/>
        <v>4189359.0280687055</v>
      </c>
      <c r="K83" s="6">
        <f t="shared" si="19"/>
        <v>4711425.2061248524</v>
      </c>
      <c r="L83" s="6">
        <f t="shared" si="20"/>
        <v>523604870.50740671</v>
      </c>
      <c r="M83" s="6">
        <f t="shared" si="26"/>
        <v>6981398.2734320899</v>
      </c>
      <c r="N83" s="6"/>
      <c r="O83" s="10">
        <f t="shared" si="21"/>
        <v>315.62947550102143</v>
      </c>
      <c r="P83" s="10">
        <f t="shared" si="22"/>
        <v>4.2083930066802866</v>
      </c>
      <c r="Q83" s="10">
        <f t="shared" si="23"/>
        <v>523.60487050740676</v>
      </c>
      <c r="R83" s="10">
        <f t="shared" si="24"/>
        <v>6.9813982734320899</v>
      </c>
      <c r="S83" s="6"/>
    </row>
    <row r="84" spans="1:19" x14ac:dyDescent="0.25">
      <c r="A84">
        <v>76</v>
      </c>
      <c r="B84" s="1">
        <f t="shared" si="25"/>
        <v>7600000000</v>
      </c>
      <c r="C84" s="1">
        <v>69070</v>
      </c>
      <c r="D84" s="1">
        <v>48320</v>
      </c>
      <c r="E84" s="1">
        <v>56460</v>
      </c>
      <c r="F84" s="6">
        <f t="shared" si="14"/>
        <v>220066599.10235992</v>
      </c>
      <c r="G84" s="6">
        <f t="shared" si="15"/>
        <v>314569536.42384106</v>
      </c>
      <c r="H84" s="6">
        <f t="shared" si="16"/>
        <v>269217144.88133192</v>
      </c>
      <c r="I84" s="6">
        <f t="shared" si="17"/>
        <v>2895613.1460836832</v>
      </c>
      <c r="J84" s="6">
        <f t="shared" si="18"/>
        <v>4139072.8476821193</v>
      </c>
      <c r="K84" s="6">
        <f t="shared" si="19"/>
        <v>3542330.8537017358</v>
      </c>
      <c r="L84" s="6">
        <f t="shared" si="20"/>
        <v>523604870.50740671</v>
      </c>
      <c r="M84" s="6">
        <f t="shared" si="26"/>
        <v>6889537.7698342986</v>
      </c>
      <c r="N84" s="6"/>
      <c r="O84" s="10">
        <f t="shared" si="21"/>
        <v>267.95109346917764</v>
      </c>
      <c r="P84" s="10">
        <f t="shared" si="22"/>
        <v>3.5256722824891793</v>
      </c>
      <c r="Q84" s="10">
        <f t="shared" si="23"/>
        <v>523.60487050740676</v>
      </c>
      <c r="R84" s="10">
        <f t="shared" si="24"/>
        <v>6.8895377698342983</v>
      </c>
      <c r="S84" s="6"/>
    </row>
    <row r="85" spans="1:19" x14ac:dyDescent="0.25">
      <c r="A85">
        <v>77</v>
      </c>
      <c r="B85" s="1">
        <f t="shared" si="25"/>
        <v>7700000000</v>
      </c>
      <c r="C85" s="1">
        <v>59490</v>
      </c>
      <c r="D85" s="1">
        <v>64270</v>
      </c>
      <c r="E85" s="1">
        <v>77610</v>
      </c>
      <c r="F85" s="6">
        <f t="shared" si="14"/>
        <v>258867036.47671878</v>
      </c>
      <c r="G85" s="6">
        <f t="shared" si="15"/>
        <v>239614127.89793059</v>
      </c>
      <c r="H85" s="6">
        <f t="shared" si="16"/>
        <v>198428037.62401751</v>
      </c>
      <c r="I85" s="6">
        <f t="shared" si="17"/>
        <v>3361909.5646327115</v>
      </c>
      <c r="J85" s="6">
        <f t="shared" si="18"/>
        <v>3111871.7908822154</v>
      </c>
      <c r="K85" s="6">
        <f t="shared" si="19"/>
        <v>2576987.5016106172</v>
      </c>
      <c r="L85" s="6">
        <f t="shared" si="20"/>
        <v>523604870.50740671</v>
      </c>
      <c r="M85" s="6">
        <f t="shared" si="26"/>
        <v>6800063.2533429442</v>
      </c>
      <c r="N85" s="6"/>
      <c r="O85" s="10">
        <f t="shared" si="21"/>
        <v>232.30306733288896</v>
      </c>
      <c r="P85" s="10">
        <f t="shared" si="22"/>
        <v>3.016922952375181</v>
      </c>
      <c r="Q85" s="10">
        <f t="shared" si="23"/>
        <v>523.60487050740676</v>
      </c>
      <c r="R85" s="10">
        <f t="shared" si="24"/>
        <v>6.8000632533429446</v>
      </c>
      <c r="S85" s="6"/>
    </row>
    <row r="86" spans="1:19" x14ac:dyDescent="0.25">
      <c r="A86">
        <v>78</v>
      </c>
      <c r="B86" s="1">
        <f t="shared" si="25"/>
        <v>7800000000</v>
      </c>
      <c r="C86" s="1">
        <v>463200</v>
      </c>
      <c r="D86" s="1">
        <v>44790</v>
      </c>
      <c r="E86" s="1">
        <v>95670</v>
      </c>
      <c r="F86" s="6">
        <f t="shared" si="14"/>
        <v>33678756.476683937</v>
      </c>
      <c r="G86" s="6">
        <f t="shared" si="15"/>
        <v>348292029.47086406</v>
      </c>
      <c r="H86" s="6">
        <f t="shared" si="16"/>
        <v>163060520.53935403</v>
      </c>
      <c r="I86" s="6">
        <f t="shared" si="17"/>
        <v>431778.92918825563</v>
      </c>
      <c r="J86" s="6">
        <f t="shared" si="18"/>
        <v>4465282.4291136414</v>
      </c>
      <c r="K86" s="6">
        <f t="shared" si="19"/>
        <v>2090519.4940942824</v>
      </c>
      <c r="L86" s="6">
        <f t="shared" si="20"/>
        <v>523604870.50740671</v>
      </c>
      <c r="M86" s="6">
        <f t="shared" si="26"/>
        <v>6712882.9552231627</v>
      </c>
      <c r="N86" s="6"/>
      <c r="O86" s="10">
        <f t="shared" si="21"/>
        <v>181.67710216230068</v>
      </c>
      <c r="P86" s="10">
        <f t="shared" si="22"/>
        <v>2.3291936174653931</v>
      </c>
      <c r="Q86" s="10">
        <f t="shared" si="23"/>
        <v>523.60487050740676</v>
      </c>
      <c r="R86" s="10">
        <f t="shared" si="24"/>
        <v>6.7128829552231624</v>
      </c>
      <c r="S86" s="6"/>
    </row>
    <row r="87" spans="1:19" x14ac:dyDescent="0.25">
      <c r="A87">
        <v>79</v>
      </c>
      <c r="B87" s="1">
        <f t="shared" si="25"/>
        <v>7900000000</v>
      </c>
      <c r="C87" s="1">
        <v>32350</v>
      </c>
      <c r="D87" s="1">
        <v>45950</v>
      </c>
      <c r="E87" s="1">
        <v>76630</v>
      </c>
      <c r="F87" s="6">
        <f t="shared" si="14"/>
        <v>488408037.09428132</v>
      </c>
      <c r="G87" s="6">
        <f t="shared" si="15"/>
        <v>343852013.05767137</v>
      </c>
      <c r="H87" s="6">
        <f t="shared" si="16"/>
        <v>206185567.01030928</v>
      </c>
      <c r="I87" s="6">
        <f t="shared" si="17"/>
        <v>6182380.2163833082</v>
      </c>
      <c r="J87" s="6">
        <f t="shared" si="18"/>
        <v>4352557.1273122961</v>
      </c>
      <c r="K87" s="6">
        <f t="shared" si="19"/>
        <v>2609943.8862064467</v>
      </c>
      <c r="L87" s="6">
        <f t="shared" si="20"/>
        <v>523604870.50740671</v>
      </c>
      <c r="M87" s="6">
        <f t="shared" si="26"/>
        <v>6627909.7532583131</v>
      </c>
      <c r="N87" s="6"/>
      <c r="O87" s="10">
        <f t="shared" si="21"/>
        <v>346.14853905408734</v>
      </c>
      <c r="P87" s="10">
        <f t="shared" si="22"/>
        <v>4.3816270766340164</v>
      </c>
      <c r="Q87" s="10">
        <f t="shared" si="23"/>
        <v>523.60487050740676</v>
      </c>
      <c r="R87" s="10">
        <f t="shared" si="24"/>
        <v>6.6279097532583133</v>
      </c>
      <c r="S87" s="6"/>
    </row>
    <row r="88" spans="1:19" x14ac:dyDescent="0.25">
      <c r="A88">
        <v>80</v>
      </c>
      <c r="B88" s="1">
        <f t="shared" si="25"/>
        <v>8000000000</v>
      </c>
      <c r="C88" s="1">
        <v>361670</v>
      </c>
      <c r="D88" s="1">
        <v>43860</v>
      </c>
      <c r="E88" s="1">
        <v>51930</v>
      </c>
      <c r="F88" s="6">
        <f t="shared" si="14"/>
        <v>44239223.601625785</v>
      </c>
      <c r="G88" s="6">
        <f t="shared" si="15"/>
        <v>364797081.62334698</v>
      </c>
      <c r="H88" s="6">
        <f t="shared" si="16"/>
        <v>308107067.20585406</v>
      </c>
      <c r="I88" s="6">
        <f t="shared" si="17"/>
        <v>552990.29502032232</v>
      </c>
      <c r="J88" s="6">
        <f t="shared" si="18"/>
        <v>4559963.5202918369</v>
      </c>
      <c r="K88" s="6">
        <f t="shared" si="19"/>
        <v>3851338.3400731757</v>
      </c>
      <c r="L88" s="6">
        <f t="shared" si="20"/>
        <v>523604870.50740671</v>
      </c>
      <c r="M88" s="6">
        <f t="shared" si="26"/>
        <v>6545060.8813425843</v>
      </c>
      <c r="N88" s="6"/>
      <c r="O88" s="10">
        <f t="shared" si="21"/>
        <v>239.04779081027564</v>
      </c>
      <c r="P88" s="10">
        <f t="shared" si="22"/>
        <v>2.9880973851284445</v>
      </c>
      <c r="Q88" s="10">
        <f t="shared" si="23"/>
        <v>523.60487050740676</v>
      </c>
      <c r="R88" s="10">
        <f t="shared" si="24"/>
        <v>6.5450608813425841</v>
      </c>
      <c r="S88" s="6"/>
    </row>
  </sheetData>
  <mergeCells count="9">
    <mergeCell ref="Q7:R7"/>
    <mergeCell ref="A7:B7"/>
    <mergeCell ref="L7:M7"/>
    <mergeCell ref="A1:M1"/>
    <mergeCell ref="A2:M2"/>
    <mergeCell ref="A3:M3"/>
    <mergeCell ref="A4:M4"/>
    <mergeCell ref="O7:P7"/>
    <mergeCell ref="C7:K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77B9-BAE6-44B1-B439-3B0AC4D9FB76}">
  <dimension ref="A1:U88"/>
  <sheetViews>
    <sheetView topLeftCell="I1" zoomScaleNormal="100" workbookViewId="0">
      <selection activeCell="A5" sqref="A5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17340</v>
      </c>
      <c r="D9" s="1">
        <v>17440</v>
      </c>
      <c r="E9" s="1">
        <v>17500</v>
      </c>
      <c r="F9" s="6">
        <f>B9*2/C9*1000</f>
        <v>11534025.374855824</v>
      </c>
      <c r="G9" s="6">
        <f>B9*2/D9*1000</f>
        <v>11467889.908256881</v>
      </c>
      <c r="H9" s="6">
        <f>B9*2/E9*1000</f>
        <v>11428571.428571429</v>
      </c>
      <c r="I9" s="6">
        <f>F9/A9</f>
        <v>11534025.374855824</v>
      </c>
      <c r="J9" s="6">
        <f>G9/A9</f>
        <v>11467889.908256881</v>
      </c>
      <c r="K9" s="6">
        <f>H9/A9</f>
        <v>11428571.428571429</v>
      </c>
      <c r="L9" s="6">
        <f>(F9+G9+H9)/3</f>
        <v>11476828.903894713</v>
      </c>
      <c r="M9" s="6">
        <f>L9/A9</f>
        <v>11476828.903894713</v>
      </c>
      <c r="N9" s="6"/>
      <c r="O9" s="10">
        <f>(F9+G9+H9)/3/1000000</f>
        <v>11.476828903894713</v>
      </c>
      <c r="P9" s="10">
        <f>(I9+J9+K9)/3/1000000</f>
        <v>11.476828903894713</v>
      </c>
      <c r="Q9" s="10">
        <f>L9/1000000</f>
        <v>11.476828903894713</v>
      </c>
      <c r="R9" s="10">
        <f>M9/1000000</f>
        <v>11.476828903894713</v>
      </c>
      <c r="S9" s="6"/>
    </row>
    <row r="10" spans="1:19" x14ac:dyDescent="0.25">
      <c r="A10">
        <v>2</v>
      </c>
      <c r="B10" s="1">
        <f>$B$9*A10</f>
        <v>200000000</v>
      </c>
      <c r="C10" s="1">
        <v>17300</v>
      </c>
      <c r="D10" s="1">
        <v>17390</v>
      </c>
      <c r="E10" s="1">
        <v>17030</v>
      </c>
      <c r="F10" s="6">
        <f t="shared" ref="F10:F73" si="0">B10*2/C10*1000</f>
        <v>23121387.283236992</v>
      </c>
      <c r="G10" s="6">
        <f t="shared" ref="G10:G73" si="1">B10*2/D10*1000</f>
        <v>23001725.129384704</v>
      </c>
      <c r="H10" s="6">
        <f t="shared" ref="H10:H73" si="2">B10*2/E10*1000</f>
        <v>23487962.419260129</v>
      </c>
      <c r="I10" s="6">
        <f t="shared" ref="I10:I73" si="3">F10/A10</f>
        <v>11560693.641618496</v>
      </c>
      <c r="J10" s="6">
        <f t="shared" ref="J10:J73" si="4">G10/A10</f>
        <v>11500862.564692352</v>
      </c>
      <c r="K10" s="6">
        <f t="shared" ref="K10:K73" si="5">H10/A10</f>
        <v>11743981.209630065</v>
      </c>
      <c r="L10" s="6">
        <f t="shared" ref="L10:L40" si="6">$L$9*A10</f>
        <v>22953657.807789426</v>
      </c>
      <c r="M10" s="6">
        <f t="shared" ref="M10:M74" si="7">L10/A10</f>
        <v>11476828.903894713</v>
      </c>
      <c r="N10" s="6"/>
      <c r="O10" s="10">
        <f t="shared" ref="O10:O73" si="8">(F10+G10+H10)/3/1000000</f>
        <v>23.203691610627274</v>
      </c>
      <c r="P10" s="10">
        <f t="shared" ref="P10:P73" si="9">(I10+J10+K10)/3/1000000</f>
        <v>11.601845805313637</v>
      </c>
      <c r="Q10" s="10">
        <f t="shared" ref="Q10:R73" si="10">L10/1000000</f>
        <v>22.953657807789426</v>
      </c>
      <c r="R10" s="10">
        <f t="shared" si="10"/>
        <v>11.476828903894713</v>
      </c>
      <c r="S10" s="6"/>
    </row>
    <row r="11" spans="1:19" x14ac:dyDescent="0.25">
      <c r="A11">
        <v>3</v>
      </c>
      <c r="B11" s="1">
        <f t="shared" ref="B11:B74" si="11">$B$9*A11</f>
        <v>300000000</v>
      </c>
      <c r="C11" s="1">
        <v>17680</v>
      </c>
      <c r="D11" s="1">
        <v>17420</v>
      </c>
      <c r="E11" s="1">
        <v>17260</v>
      </c>
      <c r="F11" s="6">
        <f t="shared" si="0"/>
        <v>33936651.58371041</v>
      </c>
      <c r="G11" s="6">
        <f t="shared" si="1"/>
        <v>34443168.771526977</v>
      </c>
      <c r="H11" s="6">
        <f t="shared" si="2"/>
        <v>34762456.546929315</v>
      </c>
      <c r="I11" s="6">
        <f t="shared" si="3"/>
        <v>11312217.194570137</v>
      </c>
      <c r="J11" s="6">
        <f t="shared" si="4"/>
        <v>11481056.25717566</v>
      </c>
      <c r="K11" s="6">
        <f t="shared" si="5"/>
        <v>11587485.515643105</v>
      </c>
      <c r="L11" s="6">
        <f t="shared" si="6"/>
        <v>34430486.711684138</v>
      </c>
      <c r="M11" s="6">
        <f t="shared" si="7"/>
        <v>11476828.903894713</v>
      </c>
      <c r="N11" s="6"/>
      <c r="O11" s="10">
        <f t="shared" si="8"/>
        <v>34.380758967388907</v>
      </c>
      <c r="P11" s="10">
        <f t="shared" si="9"/>
        <v>11.460252989129632</v>
      </c>
      <c r="Q11" s="10">
        <f t="shared" si="10"/>
        <v>34.430486711684139</v>
      </c>
      <c r="R11" s="10">
        <f t="shared" si="10"/>
        <v>11.476828903894713</v>
      </c>
      <c r="S11" s="6"/>
    </row>
    <row r="12" spans="1:19" x14ac:dyDescent="0.25">
      <c r="A12">
        <v>4</v>
      </c>
      <c r="B12" s="1">
        <f t="shared" si="11"/>
        <v>400000000</v>
      </c>
      <c r="C12" s="1">
        <v>17500</v>
      </c>
      <c r="D12" s="1">
        <v>17430</v>
      </c>
      <c r="E12" s="1">
        <v>17550</v>
      </c>
      <c r="F12" s="6">
        <f t="shared" si="0"/>
        <v>45714285.714285716</v>
      </c>
      <c r="G12" s="6">
        <f t="shared" si="1"/>
        <v>45897877.223178431</v>
      </c>
      <c r="H12" s="6">
        <f t="shared" si="2"/>
        <v>45584045.584045582</v>
      </c>
      <c r="I12" s="6">
        <f t="shared" si="3"/>
        <v>11428571.428571429</v>
      </c>
      <c r="J12" s="6">
        <f t="shared" si="4"/>
        <v>11474469.305794608</v>
      </c>
      <c r="K12" s="6">
        <f t="shared" si="5"/>
        <v>11396011.396011395</v>
      </c>
      <c r="L12" s="6">
        <f t="shared" si="6"/>
        <v>45907315.615578853</v>
      </c>
      <c r="M12" s="6">
        <f t="shared" si="7"/>
        <v>11476828.903894713</v>
      </c>
      <c r="N12" s="6"/>
      <c r="O12" s="10">
        <f t="shared" si="8"/>
        <v>45.732069507169911</v>
      </c>
      <c r="P12" s="10">
        <f t="shared" si="9"/>
        <v>11.433017376792478</v>
      </c>
      <c r="Q12" s="10">
        <f t="shared" si="10"/>
        <v>45.907315615578852</v>
      </c>
      <c r="R12" s="10">
        <f t="shared" si="10"/>
        <v>11.476828903894713</v>
      </c>
      <c r="S12" s="6"/>
    </row>
    <row r="13" spans="1:19" x14ac:dyDescent="0.25">
      <c r="A13">
        <v>5</v>
      </c>
      <c r="B13" s="1">
        <f t="shared" si="11"/>
        <v>500000000</v>
      </c>
      <c r="C13" s="1">
        <v>16960</v>
      </c>
      <c r="D13" s="1">
        <v>17680</v>
      </c>
      <c r="E13" s="1">
        <v>18500</v>
      </c>
      <c r="F13" s="6">
        <f t="shared" si="0"/>
        <v>58962264.150943398</v>
      </c>
      <c r="G13" s="6">
        <f t="shared" si="1"/>
        <v>56561085.97285068</v>
      </c>
      <c r="H13" s="6">
        <f t="shared" si="2"/>
        <v>54054054.054054052</v>
      </c>
      <c r="I13" s="6">
        <f t="shared" si="3"/>
        <v>11792452.83018868</v>
      </c>
      <c r="J13" s="6">
        <f t="shared" si="4"/>
        <v>11312217.194570135</v>
      </c>
      <c r="K13" s="6">
        <f t="shared" si="5"/>
        <v>10810810.81081081</v>
      </c>
      <c r="L13" s="6">
        <f t="shared" si="6"/>
        <v>57384144.519473568</v>
      </c>
      <c r="M13" s="6">
        <f t="shared" si="7"/>
        <v>11476828.903894713</v>
      </c>
      <c r="N13" s="6"/>
      <c r="O13" s="10">
        <f t="shared" si="8"/>
        <v>56.525801392616039</v>
      </c>
      <c r="P13" s="10">
        <f t="shared" si="9"/>
        <v>11.305160278523209</v>
      </c>
      <c r="Q13" s="10">
        <f t="shared" si="10"/>
        <v>57.384144519473566</v>
      </c>
      <c r="R13" s="10">
        <f t="shared" si="10"/>
        <v>11.476828903894713</v>
      </c>
      <c r="S13" s="6"/>
    </row>
    <row r="14" spans="1:19" x14ac:dyDescent="0.25">
      <c r="A14">
        <v>6</v>
      </c>
      <c r="B14" s="1">
        <f t="shared" si="11"/>
        <v>600000000</v>
      </c>
      <c r="C14" s="1">
        <v>17210</v>
      </c>
      <c r="D14" s="1">
        <v>17180</v>
      </c>
      <c r="E14" s="1">
        <v>17130</v>
      </c>
      <c r="F14" s="6">
        <f t="shared" si="0"/>
        <v>69726902.963393375</v>
      </c>
      <c r="G14" s="6">
        <f t="shared" si="1"/>
        <v>69848661.233993009</v>
      </c>
      <c r="H14" s="6">
        <f t="shared" si="2"/>
        <v>70052539.404553413</v>
      </c>
      <c r="I14" s="6">
        <f t="shared" si="3"/>
        <v>11621150.493898897</v>
      </c>
      <c r="J14" s="6">
        <f t="shared" si="4"/>
        <v>11641443.538998835</v>
      </c>
      <c r="K14" s="6">
        <f t="shared" si="5"/>
        <v>11675423.234092236</v>
      </c>
      <c r="L14" s="6">
        <f t="shared" si="6"/>
        <v>68860973.423368275</v>
      </c>
      <c r="M14" s="6">
        <f t="shared" si="7"/>
        <v>11476828.903894713</v>
      </c>
      <c r="N14" s="6"/>
      <c r="O14" s="10">
        <f t="shared" si="8"/>
        <v>69.876034533979933</v>
      </c>
      <c r="P14" s="10">
        <f t="shared" si="9"/>
        <v>11.646005755663323</v>
      </c>
      <c r="Q14" s="10">
        <f t="shared" si="10"/>
        <v>68.860973423368279</v>
      </c>
      <c r="R14" s="10">
        <f t="shared" si="10"/>
        <v>11.476828903894713</v>
      </c>
      <c r="S14" s="6"/>
    </row>
    <row r="15" spans="1:19" x14ac:dyDescent="0.25">
      <c r="A15">
        <v>7</v>
      </c>
      <c r="B15" s="1">
        <f t="shared" si="11"/>
        <v>700000000</v>
      </c>
      <c r="C15" s="1">
        <v>16910</v>
      </c>
      <c r="D15" s="1">
        <v>16980</v>
      </c>
      <c r="E15" s="1">
        <v>17390</v>
      </c>
      <c r="F15" s="6">
        <f t="shared" si="0"/>
        <v>82791247.782377288</v>
      </c>
      <c r="G15" s="6">
        <f t="shared" si="1"/>
        <v>82449941.107184917</v>
      </c>
      <c r="H15" s="6">
        <f t="shared" si="2"/>
        <v>80506037.952846467</v>
      </c>
      <c r="I15" s="6">
        <f t="shared" si="3"/>
        <v>11827321.111768184</v>
      </c>
      <c r="J15" s="6">
        <f t="shared" si="4"/>
        <v>11778563.015312131</v>
      </c>
      <c r="K15" s="6">
        <f t="shared" si="5"/>
        <v>11500862.564692352</v>
      </c>
      <c r="L15" s="6">
        <f t="shared" si="6"/>
        <v>80337802.327262998</v>
      </c>
      <c r="M15" s="6">
        <f t="shared" si="7"/>
        <v>11476828.903894713</v>
      </c>
      <c r="N15" s="6"/>
      <c r="O15" s="10">
        <f t="shared" si="8"/>
        <v>81.915742280802888</v>
      </c>
      <c r="P15" s="10">
        <f t="shared" si="9"/>
        <v>11.702248897257558</v>
      </c>
      <c r="Q15" s="10">
        <f t="shared" si="10"/>
        <v>80.337802327262992</v>
      </c>
      <c r="R15" s="10">
        <f t="shared" si="10"/>
        <v>11.476828903894713</v>
      </c>
      <c r="S15" s="6"/>
    </row>
    <row r="16" spans="1:19" x14ac:dyDescent="0.25">
      <c r="A16">
        <v>8</v>
      </c>
      <c r="B16" s="1">
        <f t="shared" si="11"/>
        <v>800000000</v>
      </c>
      <c r="C16" s="1">
        <v>17150</v>
      </c>
      <c r="D16" s="1">
        <v>16940</v>
      </c>
      <c r="E16" s="1">
        <v>16940</v>
      </c>
      <c r="F16" s="6">
        <f t="shared" si="0"/>
        <v>93294460.641399413</v>
      </c>
      <c r="G16" s="6">
        <f t="shared" si="1"/>
        <v>94451003.54191263</v>
      </c>
      <c r="H16" s="6">
        <f t="shared" si="2"/>
        <v>94451003.54191263</v>
      </c>
      <c r="I16" s="6">
        <f t="shared" si="3"/>
        <v>11661807.580174927</v>
      </c>
      <c r="J16" s="6">
        <f t="shared" si="4"/>
        <v>11806375.442739079</v>
      </c>
      <c r="K16" s="6">
        <f t="shared" si="5"/>
        <v>11806375.442739079</v>
      </c>
      <c r="L16" s="6">
        <f t="shared" si="6"/>
        <v>91814631.231157705</v>
      </c>
      <c r="M16" s="6">
        <f t="shared" si="7"/>
        <v>11476828.903894713</v>
      </c>
      <c r="N16" s="6"/>
      <c r="O16" s="10">
        <f t="shared" si="8"/>
        <v>94.06548924174156</v>
      </c>
      <c r="P16" s="10">
        <f t="shared" si="9"/>
        <v>11.758186155217695</v>
      </c>
      <c r="Q16" s="10">
        <f t="shared" si="10"/>
        <v>91.814631231157705</v>
      </c>
      <c r="R16" s="10">
        <f t="shared" si="10"/>
        <v>11.476828903894713</v>
      </c>
      <c r="S16" s="6"/>
    </row>
    <row r="17" spans="1:19" x14ac:dyDescent="0.25">
      <c r="A17">
        <v>9</v>
      </c>
      <c r="B17" s="1">
        <f t="shared" si="11"/>
        <v>900000000</v>
      </c>
      <c r="C17" s="1">
        <v>17130</v>
      </c>
      <c r="D17" s="1">
        <v>17360</v>
      </c>
      <c r="E17" s="1">
        <v>17210</v>
      </c>
      <c r="F17" s="6">
        <f t="shared" si="0"/>
        <v>105078809.10683013</v>
      </c>
      <c r="G17" s="6">
        <f t="shared" si="1"/>
        <v>103686635.94470046</v>
      </c>
      <c r="H17" s="6">
        <f t="shared" si="2"/>
        <v>104590354.44509007</v>
      </c>
      <c r="I17" s="6">
        <f t="shared" si="3"/>
        <v>11675423.234092237</v>
      </c>
      <c r="J17" s="6">
        <f t="shared" si="4"/>
        <v>11520737.327188941</v>
      </c>
      <c r="K17" s="6">
        <f t="shared" si="5"/>
        <v>11621150.493898897</v>
      </c>
      <c r="L17" s="6">
        <f t="shared" si="6"/>
        <v>103291460.13505241</v>
      </c>
      <c r="M17" s="6">
        <f t="shared" si="7"/>
        <v>11476828.903894713</v>
      </c>
      <c r="N17" s="6"/>
      <c r="O17" s="10">
        <f t="shared" si="8"/>
        <v>104.45193316554023</v>
      </c>
      <c r="P17" s="10">
        <f t="shared" si="9"/>
        <v>11.60577035172669</v>
      </c>
      <c r="Q17" s="10">
        <f t="shared" si="10"/>
        <v>103.29146013505242</v>
      </c>
      <c r="R17" s="10">
        <f t="shared" si="10"/>
        <v>11.476828903894713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17490</v>
      </c>
      <c r="D18" s="1">
        <v>17160</v>
      </c>
      <c r="E18" s="1">
        <v>17580</v>
      </c>
      <c r="F18" s="6">
        <f t="shared" si="0"/>
        <v>114351057.74728417</v>
      </c>
      <c r="G18" s="6">
        <f t="shared" si="1"/>
        <v>116550116.55011655</v>
      </c>
      <c r="H18" s="6">
        <f t="shared" si="2"/>
        <v>113765642.77588169</v>
      </c>
      <c r="I18" s="6">
        <f t="shared" si="3"/>
        <v>11435105.774728417</v>
      </c>
      <c r="J18" s="6">
        <f t="shared" si="4"/>
        <v>11655011.655011656</v>
      </c>
      <c r="K18" s="6">
        <f t="shared" si="5"/>
        <v>11376564.27758817</v>
      </c>
      <c r="L18" s="6">
        <f t="shared" si="6"/>
        <v>114768289.03894714</v>
      </c>
      <c r="M18" s="6">
        <f t="shared" si="7"/>
        <v>11476828.903894713</v>
      </c>
      <c r="N18" s="6"/>
      <c r="O18" s="10">
        <f t="shared" si="8"/>
        <v>114.88893902442747</v>
      </c>
      <c r="P18" s="10">
        <f t="shared" si="9"/>
        <v>11.488893902442747</v>
      </c>
      <c r="Q18" s="10">
        <f t="shared" si="10"/>
        <v>114.76828903894713</v>
      </c>
      <c r="R18" s="10">
        <f t="shared" si="10"/>
        <v>11.476828903894713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17010</v>
      </c>
      <c r="D19" s="1">
        <v>17740</v>
      </c>
      <c r="E19" s="1">
        <v>17220</v>
      </c>
      <c r="F19" s="6">
        <f t="shared" si="0"/>
        <v>129335684.89124045</v>
      </c>
      <c r="G19" s="6">
        <f t="shared" si="1"/>
        <v>124013528.74859077</v>
      </c>
      <c r="H19" s="6">
        <f t="shared" si="2"/>
        <v>127758420.44134727</v>
      </c>
      <c r="I19" s="6">
        <f t="shared" si="3"/>
        <v>11757789.535567313</v>
      </c>
      <c r="J19" s="6">
        <f t="shared" si="4"/>
        <v>11273957.158962797</v>
      </c>
      <c r="K19" s="6">
        <f t="shared" si="5"/>
        <v>11614401.858304298</v>
      </c>
      <c r="L19" s="6">
        <f t="shared" si="6"/>
        <v>126245117.94284184</v>
      </c>
      <c r="M19" s="6">
        <f t="shared" si="7"/>
        <v>11476828.903894713</v>
      </c>
      <c r="N19" s="6"/>
      <c r="O19" s="10">
        <f t="shared" si="8"/>
        <v>127.0358780270595</v>
      </c>
      <c r="P19" s="10">
        <f t="shared" si="9"/>
        <v>11.548716184278137</v>
      </c>
      <c r="Q19" s="10">
        <f t="shared" si="10"/>
        <v>126.24511794284184</v>
      </c>
      <c r="R19" s="10">
        <f t="shared" si="10"/>
        <v>11.476828903894713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17140</v>
      </c>
      <c r="D20" s="1">
        <v>17140</v>
      </c>
      <c r="E20" s="1">
        <v>16940</v>
      </c>
      <c r="F20" s="6">
        <f t="shared" si="0"/>
        <v>140023337.22287047</v>
      </c>
      <c r="G20" s="6">
        <f t="shared" si="1"/>
        <v>140023337.22287047</v>
      </c>
      <c r="H20" s="6">
        <f t="shared" si="2"/>
        <v>141676505.31286895</v>
      </c>
      <c r="I20" s="6">
        <f t="shared" si="3"/>
        <v>11668611.435239205</v>
      </c>
      <c r="J20" s="6">
        <f t="shared" si="4"/>
        <v>11668611.435239205</v>
      </c>
      <c r="K20" s="6">
        <f t="shared" si="5"/>
        <v>11806375.442739079</v>
      </c>
      <c r="L20" s="6">
        <f t="shared" si="6"/>
        <v>137721946.84673655</v>
      </c>
      <c r="M20" s="6">
        <f t="shared" si="7"/>
        <v>11476828.903894713</v>
      </c>
      <c r="N20" s="6"/>
      <c r="O20" s="10">
        <f t="shared" si="8"/>
        <v>140.57439325286995</v>
      </c>
      <c r="P20" s="10">
        <f t="shared" si="9"/>
        <v>11.714532771072498</v>
      </c>
      <c r="Q20" s="10">
        <f t="shared" si="10"/>
        <v>137.72194684673656</v>
      </c>
      <c r="R20" s="10">
        <f t="shared" si="10"/>
        <v>11.476828903894713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17190</v>
      </c>
      <c r="D21" s="1">
        <v>17050</v>
      </c>
      <c r="E21" s="1">
        <v>17200</v>
      </c>
      <c r="F21" s="6">
        <f t="shared" si="0"/>
        <v>151250727.16695753</v>
      </c>
      <c r="G21" s="6">
        <f t="shared" si="1"/>
        <v>152492668.62170088</v>
      </c>
      <c r="H21" s="6">
        <f t="shared" si="2"/>
        <v>151162790.69767442</v>
      </c>
      <c r="I21" s="6">
        <f t="shared" si="3"/>
        <v>11634671.320535194</v>
      </c>
      <c r="J21" s="6">
        <f t="shared" si="4"/>
        <v>11730205.278592376</v>
      </c>
      <c r="K21" s="6">
        <f t="shared" si="5"/>
        <v>11627906.976744186</v>
      </c>
      <c r="L21" s="6">
        <f t="shared" si="6"/>
        <v>149198775.75063127</v>
      </c>
      <c r="M21" s="6">
        <f t="shared" si="7"/>
        <v>11476828.903894713</v>
      </c>
      <c r="N21" s="6"/>
      <c r="O21" s="10">
        <f t="shared" si="8"/>
        <v>151.63539549544427</v>
      </c>
      <c r="P21" s="10">
        <f t="shared" si="9"/>
        <v>11.66426119195725</v>
      </c>
      <c r="Q21" s="10">
        <f t="shared" si="10"/>
        <v>149.19877575063128</v>
      </c>
      <c r="R21" s="10">
        <f t="shared" si="10"/>
        <v>11.476828903894713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17190</v>
      </c>
      <c r="D22" s="1">
        <v>16870</v>
      </c>
      <c r="E22" s="1">
        <v>16890</v>
      </c>
      <c r="F22" s="6">
        <f t="shared" si="0"/>
        <v>162885398.48749274</v>
      </c>
      <c r="G22" s="6">
        <f t="shared" si="1"/>
        <v>165975103.73443982</v>
      </c>
      <c r="H22" s="6">
        <f t="shared" si="2"/>
        <v>165778567.19952637</v>
      </c>
      <c r="I22" s="6">
        <f t="shared" si="3"/>
        <v>11634671.320535196</v>
      </c>
      <c r="J22" s="6">
        <f t="shared" si="4"/>
        <v>11855364.552459987</v>
      </c>
      <c r="K22" s="6">
        <f t="shared" si="5"/>
        <v>11841326.228537599</v>
      </c>
      <c r="L22" s="6">
        <f t="shared" si="6"/>
        <v>160675604.654526</v>
      </c>
      <c r="M22" s="6">
        <f t="shared" si="7"/>
        <v>11476828.903894713</v>
      </c>
      <c r="N22" s="6"/>
      <c r="O22" s="10">
        <f t="shared" si="8"/>
        <v>164.87968980715294</v>
      </c>
      <c r="P22" s="10">
        <f t="shared" si="9"/>
        <v>11.777120700510926</v>
      </c>
      <c r="Q22" s="10">
        <f t="shared" si="10"/>
        <v>160.67560465452598</v>
      </c>
      <c r="R22" s="10">
        <f t="shared" si="10"/>
        <v>11.476828903894713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17240</v>
      </c>
      <c r="D23" s="1">
        <v>17420</v>
      </c>
      <c r="E23" s="1">
        <v>16890</v>
      </c>
      <c r="F23" s="6">
        <f t="shared" si="0"/>
        <v>174013921.11368909</v>
      </c>
      <c r="G23" s="6">
        <f t="shared" si="1"/>
        <v>172215843.8576349</v>
      </c>
      <c r="H23" s="6">
        <f t="shared" si="2"/>
        <v>177619893.42806396</v>
      </c>
      <c r="I23" s="6">
        <f t="shared" si="3"/>
        <v>11600928.074245939</v>
      </c>
      <c r="J23" s="6">
        <f t="shared" si="4"/>
        <v>11481056.25717566</v>
      </c>
      <c r="K23" s="6">
        <f t="shared" si="5"/>
        <v>11841326.228537597</v>
      </c>
      <c r="L23" s="6">
        <f t="shared" si="6"/>
        <v>172152433.55842069</v>
      </c>
      <c r="M23" s="6">
        <f t="shared" si="7"/>
        <v>11476828.903894713</v>
      </c>
      <c r="N23" s="6"/>
      <c r="O23" s="10">
        <f t="shared" si="8"/>
        <v>174.61655279979598</v>
      </c>
      <c r="P23" s="10">
        <f t="shared" si="9"/>
        <v>11.641103519986398</v>
      </c>
      <c r="Q23" s="10">
        <f t="shared" si="10"/>
        <v>172.15243355842068</v>
      </c>
      <c r="R23" s="10">
        <f t="shared" si="10"/>
        <v>11.476828903894713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17140</v>
      </c>
      <c r="D24" s="1">
        <v>17060</v>
      </c>
      <c r="E24" s="1">
        <v>16940</v>
      </c>
      <c r="F24" s="6">
        <f t="shared" si="0"/>
        <v>186697782.96382731</v>
      </c>
      <c r="G24" s="6">
        <f t="shared" si="1"/>
        <v>187573270.80890971</v>
      </c>
      <c r="H24" s="6">
        <f t="shared" si="2"/>
        <v>188902007.08382526</v>
      </c>
      <c r="I24" s="6">
        <f t="shared" si="3"/>
        <v>11668611.435239207</v>
      </c>
      <c r="J24" s="6">
        <f t="shared" si="4"/>
        <v>11723329.425556857</v>
      </c>
      <c r="K24" s="6">
        <f t="shared" si="5"/>
        <v>11806375.442739079</v>
      </c>
      <c r="L24" s="6">
        <f t="shared" si="6"/>
        <v>183629262.46231541</v>
      </c>
      <c r="M24" s="6">
        <f t="shared" si="7"/>
        <v>11476828.903894713</v>
      </c>
      <c r="N24" s="6"/>
      <c r="O24" s="10">
        <f t="shared" si="8"/>
        <v>187.72435361885408</v>
      </c>
      <c r="P24" s="10">
        <f t="shared" si="9"/>
        <v>11.73277210117838</v>
      </c>
      <c r="Q24" s="10">
        <f t="shared" si="10"/>
        <v>183.62926246231541</v>
      </c>
      <c r="R24" s="10">
        <f t="shared" si="10"/>
        <v>11.476828903894713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17190</v>
      </c>
      <c r="D25" s="1">
        <v>16930</v>
      </c>
      <c r="E25" s="1">
        <v>17150</v>
      </c>
      <c r="F25" s="6">
        <f t="shared" si="0"/>
        <v>197789412.44909832</v>
      </c>
      <c r="G25" s="6">
        <f t="shared" si="1"/>
        <v>200826934.43591258</v>
      </c>
      <c r="H25" s="6">
        <f t="shared" si="2"/>
        <v>198250728.86297378</v>
      </c>
      <c r="I25" s="6">
        <f t="shared" si="3"/>
        <v>11634671.320535196</v>
      </c>
      <c r="J25" s="6">
        <f t="shared" si="4"/>
        <v>11813349.084465446</v>
      </c>
      <c r="K25" s="6">
        <f t="shared" si="5"/>
        <v>11661807.580174929</v>
      </c>
      <c r="L25" s="6">
        <f t="shared" si="6"/>
        <v>195106091.36621013</v>
      </c>
      <c r="M25" s="6">
        <f t="shared" si="7"/>
        <v>11476828.903894713</v>
      </c>
      <c r="N25" s="6"/>
      <c r="O25" s="10">
        <f t="shared" si="8"/>
        <v>198.95569191599489</v>
      </c>
      <c r="P25" s="10">
        <f t="shared" si="9"/>
        <v>11.703275995058524</v>
      </c>
      <c r="Q25" s="10">
        <f t="shared" si="10"/>
        <v>195.10609136621014</v>
      </c>
      <c r="R25" s="10">
        <f t="shared" si="10"/>
        <v>11.476828903894713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17080</v>
      </c>
      <c r="D26" s="1">
        <v>16910</v>
      </c>
      <c r="E26" s="1">
        <v>17160</v>
      </c>
      <c r="F26" s="6">
        <f t="shared" si="0"/>
        <v>210772833.72365341</v>
      </c>
      <c r="G26" s="6">
        <f t="shared" si="1"/>
        <v>212891780.01182732</v>
      </c>
      <c r="H26" s="6">
        <f t="shared" si="2"/>
        <v>209790209.7902098</v>
      </c>
      <c r="I26" s="6">
        <f t="shared" si="3"/>
        <v>11709601.8735363</v>
      </c>
      <c r="J26" s="6">
        <f t="shared" si="4"/>
        <v>11827321.111768184</v>
      </c>
      <c r="K26" s="6">
        <f t="shared" si="5"/>
        <v>11655011.655011656</v>
      </c>
      <c r="L26" s="6">
        <f t="shared" si="6"/>
        <v>206582920.27010483</v>
      </c>
      <c r="M26" s="6">
        <f t="shared" si="7"/>
        <v>11476828.903894713</v>
      </c>
      <c r="N26" s="6"/>
      <c r="O26" s="10">
        <f t="shared" si="8"/>
        <v>211.15160784189686</v>
      </c>
      <c r="P26" s="10">
        <f t="shared" si="9"/>
        <v>11.730644880105379</v>
      </c>
      <c r="Q26" s="10">
        <f t="shared" si="10"/>
        <v>206.58292027010484</v>
      </c>
      <c r="R26" s="10">
        <f t="shared" si="10"/>
        <v>11.476828903894713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16860</v>
      </c>
      <c r="D27" s="1">
        <v>17550</v>
      </c>
      <c r="E27" s="1">
        <v>16890</v>
      </c>
      <c r="F27" s="6">
        <f t="shared" si="0"/>
        <v>225385527.87663105</v>
      </c>
      <c r="G27" s="6">
        <f t="shared" si="1"/>
        <v>216524216.52421653</v>
      </c>
      <c r="H27" s="6">
        <f t="shared" si="2"/>
        <v>224985198.34221435</v>
      </c>
      <c r="I27" s="6">
        <f t="shared" si="3"/>
        <v>11862396.204033213</v>
      </c>
      <c r="J27" s="6">
        <f t="shared" si="4"/>
        <v>11396011.396011397</v>
      </c>
      <c r="K27" s="6">
        <f t="shared" si="5"/>
        <v>11841326.228537597</v>
      </c>
      <c r="L27" s="6">
        <f t="shared" si="6"/>
        <v>218059749.17399955</v>
      </c>
      <c r="M27" s="6">
        <f t="shared" si="7"/>
        <v>11476828.903894713</v>
      </c>
      <c r="N27" s="6"/>
      <c r="O27" s="10">
        <f t="shared" si="8"/>
        <v>222.2983142476873</v>
      </c>
      <c r="P27" s="10">
        <f t="shared" si="9"/>
        <v>11.699911276194067</v>
      </c>
      <c r="Q27" s="10">
        <f t="shared" si="10"/>
        <v>218.05974917399953</v>
      </c>
      <c r="R27" s="10">
        <f t="shared" si="10"/>
        <v>11.476828903894713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16970</v>
      </c>
      <c r="D28" s="1">
        <v>17200</v>
      </c>
      <c r="E28" s="1">
        <v>17270</v>
      </c>
      <c r="F28" s="6">
        <f t="shared" si="0"/>
        <v>235710076.60577491</v>
      </c>
      <c r="G28" s="6">
        <f t="shared" si="1"/>
        <v>232558139.53488374</v>
      </c>
      <c r="H28" s="6">
        <f t="shared" si="2"/>
        <v>231615518.23972207</v>
      </c>
      <c r="I28" s="6">
        <f t="shared" si="3"/>
        <v>11785503.830288745</v>
      </c>
      <c r="J28" s="6">
        <f t="shared" si="4"/>
        <v>11627906.976744186</v>
      </c>
      <c r="K28" s="6">
        <f t="shared" si="5"/>
        <v>11580775.911986103</v>
      </c>
      <c r="L28" s="6">
        <f t="shared" si="6"/>
        <v>229536578.07789427</v>
      </c>
      <c r="M28" s="6">
        <f t="shared" si="7"/>
        <v>11476828.903894713</v>
      </c>
      <c r="N28" s="6"/>
      <c r="O28" s="10">
        <f t="shared" si="8"/>
        <v>233.29457812679354</v>
      </c>
      <c r="P28" s="10">
        <f t="shared" si="9"/>
        <v>11.664728906339677</v>
      </c>
      <c r="Q28" s="10">
        <f t="shared" si="10"/>
        <v>229.53657807789426</v>
      </c>
      <c r="R28" s="10">
        <f t="shared" si="10"/>
        <v>11.476828903894713</v>
      </c>
      <c r="S28" s="6"/>
    </row>
    <row r="29" spans="1:19" x14ac:dyDescent="0.25">
      <c r="A29">
        <v>21</v>
      </c>
      <c r="B29" s="1">
        <f t="shared" si="11"/>
        <v>2100000000</v>
      </c>
      <c r="C29" s="1">
        <v>17280</v>
      </c>
      <c r="D29" s="1">
        <v>17520</v>
      </c>
      <c r="E29" s="1">
        <v>17290</v>
      </c>
      <c r="F29" s="6">
        <f t="shared" si="0"/>
        <v>243055555.55555555</v>
      </c>
      <c r="G29" s="6">
        <f t="shared" si="1"/>
        <v>239726027.39726028</v>
      </c>
      <c r="H29" s="6">
        <f t="shared" si="2"/>
        <v>242914979.757085</v>
      </c>
      <c r="I29" s="6">
        <f t="shared" si="3"/>
        <v>11574074.074074075</v>
      </c>
      <c r="J29" s="6">
        <f t="shared" si="4"/>
        <v>11415525.114155252</v>
      </c>
      <c r="K29" s="6">
        <f t="shared" si="5"/>
        <v>11567379.98843262</v>
      </c>
      <c r="L29" s="6">
        <f t="shared" si="6"/>
        <v>241013406.98178896</v>
      </c>
      <c r="M29" s="6">
        <f t="shared" si="7"/>
        <v>11476828.903894713</v>
      </c>
      <c r="N29" s="6"/>
      <c r="O29" s="10">
        <f t="shared" si="8"/>
        <v>241.89885423663364</v>
      </c>
      <c r="P29" s="10">
        <f t="shared" si="9"/>
        <v>11.518993058887316</v>
      </c>
      <c r="Q29" s="10">
        <f t="shared" si="10"/>
        <v>241.01340698178896</v>
      </c>
      <c r="R29" s="10">
        <f t="shared" si="10"/>
        <v>11.476828903894713</v>
      </c>
      <c r="S29" s="6"/>
    </row>
    <row r="30" spans="1:19" x14ac:dyDescent="0.25">
      <c r="A30">
        <v>22</v>
      </c>
      <c r="B30" s="1">
        <f t="shared" si="11"/>
        <v>2200000000</v>
      </c>
      <c r="C30" s="1">
        <v>17180</v>
      </c>
      <c r="D30" s="1">
        <v>17090</v>
      </c>
      <c r="E30" s="1">
        <v>17150</v>
      </c>
      <c r="F30" s="6">
        <f t="shared" si="0"/>
        <v>256111757.85797438</v>
      </c>
      <c r="G30" s="6">
        <f t="shared" si="1"/>
        <v>257460503.21825629</v>
      </c>
      <c r="H30" s="6">
        <f t="shared" si="2"/>
        <v>256559766.76384839</v>
      </c>
      <c r="I30" s="6">
        <f t="shared" si="3"/>
        <v>11641443.538998835</v>
      </c>
      <c r="J30" s="6">
        <f t="shared" si="4"/>
        <v>11702750.146284377</v>
      </c>
      <c r="K30" s="6">
        <f t="shared" si="5"/>
        <v>11661807.580174927</v>
      </c>
      <c r="L30" s="6">
        <f t="shared" si="6"/>
        <v>252490235.88568369</v>
      </c>
      <c r="M30" s="6">
        <f t="shared" si="7"/>
        <v>11476828.903894713</v>
      </c>
      <c r="N30" s="6"/>
      <c r="O30" s="10">
        <f t="shared" si="8"/>
        <v>256.71067594669302</v>
      </c>
      <c r="P30" s="10">
        <f t="shared" si="9"/>
        <v>11.668667088486046</v>
      </c>
      <c r="Q30" s="10">
        <f t="shared" si="10"/>
        <v>252.49023588568369</v>
      </c>
      <c r="R30" s="10">
        <f t="shared" si="10"/>
        <v>11.476828903894713</v>
      </c>
      <c r="S30" s="6"/>
    </row>
    <row r="31" spans="1:19" x14ac:dyDescent="0.25">
      <c r="A31">
        <v>23</v>
      </c>
      <c r="B31" s="1">
        <f t="shared" si="11"/>
        <v>2300000000</v>
      </c>
      <c r="C31" s="1">
        <v>17140</v>
      </c>
      <c r="D31" s="1">
        <v>17240</v>
      </c>
      <c r="E31" s="1">
        <v>16880</v>
      </c>
      <c r="F31" s="6">
        <f t="shared" si="0"/>
        <v>268378063.01050174</v>
      </c>
      <c r="G31" s="6">
        <f t="shared" si="1"/>
        <v>266821345.70765665</v>
      </c>
      <c r="H31" s="6">
        <f t="shared" si="2"/>
        <v>272511848.34123224</v>
      </c>
      <c r="I31" s="6">
        <f t="shared" si="3"/>
        <v>11668611.435239207</v>
      </c>
      <c r="J31" s="6">
        <f t="shared" si="4"/>
        <v>11600928.074245941</v>
      </c>
      <c r="K31" s="6">
        <f t="shared" si="5"/>
        <v>11848341.232227489</v>
      </c>
      <c r="L31" s="6">
        <f t="shared" si="6"/>
        <v>263967064.78957841</v>
      </c>
      <c r="M31" s="6">
        <f t="shared" si="7"/>
        <v>11476828.903894713</v>
      </c>
      <c r="N31" s="6"/>
      <c r="O31" s="10">
        <f t="shared" si="8"/>
        <v>269.23708568646356</v>
      </c>
      <c r="P31" s="10">
        <f t="shared" si="9"/>
        <v>11.705960247237547</v>
      </c>
      <c r="Q31" s="10">
        <f t="shared" si="10"/>
        <v>263.96706478957839</v>
      </c>
      <c r="R31" s="10">
        <f t="shared" si="10"/>
        <v>11.476828903894713</v>
      </c>
      <c r="S31" s="6"/>
    </row>
    <row r="32" spans="1:19" x14ac:dyDescent="0.25">
      <c r="A32">
        <v>24</v>
      </c>
      <c r="B32" s="1">
        <f t="shared" si="11"/>
        <v>2400000000</v>
      </c>
      <c r="C32" s="1">
        <v>17430</v>
      </c>
      <c r="D32" s="1">
        <v>17020</v>
      </c>
      <c r="E32" s="1">
        <v>17430</v>
      </c>
      <c r="F32" s="6">
        <f t="shared" si="0"/>
        <v>275387263.33907056</v>
      </c>
      <c r="G32" s="6">
        <f t="shared" si="1"/>
        <v>282021151.58636898</v>
      </c>
      <c r="H32" s="6">
        <f t="shared" si="2"/>
        <v>275387263.33907056</v>
      </c>
      <c r="I32" s="6">
        <f t="shared" si="3"/>
        <v>11474469.305794606</v>
      </c>
      <c r="J32" s="6">
        <f t="shared" si="4"/>
        <v>11750881.316098707</v>
      </c>
      <c r="K32" s="6">
        <f t="shared" si="5"/>
        <v>11474469.305794606</v>
      </c>
      <c r="L32" s="6">
        <f t="shared" si="6"/>
        <v>275443893.6934731</v>
      </c>
      <c r="M32" s="6">
        <f t="shared" si="7"/>
        <v>11476828.903894713</v>
      </c>
      <c r="N32" s="6"/>
      <c r="O32" s="10">
        <f t="shared" si="8"/>
        <v>277.59855942150335</v>
      </c>
      <c r="P32" s="10">
        <f t="shared" si="9"/>
        <v>11.566606642562641</v>
      </c>
      <c r="Q32" s="10">
        <f t="shared" si="10"/>
        <v>275.44389369347311</v>
      </c>
      <c r="R32" s="10">
        <f t="shared" si="10"/>
        <v>11.476828903894713</v>
      </c>
      <c r="S32" s="6"/>
    </row>
    <row r="33" spans="1:19" x14ac:dyDescent="0.25">
      <c r="A33">
        <v>25</v>
      </c>
      <c r="B33" s="1">
        <f t="shared" si="11"/>
        <v>2500000000</v>
      </c>
      <c r="C33" s="1">
        <v>17140</v>
      </c>
      <c r="D33" s="1">
        <v>16880</v>
      </c>
      <c r="E33" s="1">
        <v>17480</v>
      </c>
      <c r="F33" s="6">
        <f t="shared" si="0"/>
        <v>291715285.88098013</v>
      </c>
      <c r="G33" s="6">
        <f t="shared" si="1"/>
        <v>296208530.80568719</v>
      </c>
      <c r="H33" s="6">
        <f t="shared" si="2"/>
        <v>286041189.93135011</v>
      </c>
      <c r="I33" s="6">
        <f t="shared" si="3"/>
        <v>11668611.435239205</v>
      </c>
      <c r="J33" s="6">
        <f t="shared" si="4"/>
        <v>11848341.232227487</v>
      </c>
      <c r="K33" s="6">
        <f t="shared" si="5"/>
        <v>11441647.597254004</v>
      </c>
      <c r="L33" s="6">
        <f t="shared" si="6"/>
        <v>286920722.59736782</v>
      </c>
      <c r="M33" s="6">
        <f t="shared" si="7"/>
        <v>11476828.903894713</v>
      </c>
      <c r="N33" s="6"/>
      <c r="O33" s="10">
        <f t="shared" si="8"/>
        <v>291.32166887267249</v>
      </c>
      <c r="P33" s="10">
        <f t="shared" si="9"/>
        <v>11.652866754906899</v>
      </c>
      <c r="Q33" s="10">
        <f t="shared" si="10"/>
        <v>286.92072259736784</v>
      </c>
      <c r="R33" s="10">
        <f t="shared" si="10"/>
        <v>11.476828903894713</v>
      </c>
      <c r="S33" s="6"/>
    </row>
    <row r="34" spans="1:19" x14ac:dyDescent="0.25">
      <c r="A34">
        <v>26</v>
      </c>
      <c r="B34" s="1">
        <f t="shared" si="11"/>
        <v>2600000000</v>
      </c>
      <c r="C34" s="1">
        <v>17200</v>
      </c>
      <c r="D34" s="1">
        <v>17240</v>
      </c>
      <c r="E34" s="1">
        <v>17280</v>
      </c>
      <c r="F34" s="6">
        <f t="shared" si="0"/>
        <v>302325581.39534885</v>
      </c>
      <c r="G34" s="6">
        <f t="shared" si="1"/>
        <v>301624129.93039441</v>
      </c>
      <c r="H34" s="6">
        <f t="shared" si="2"/>
        <v>300925925.92592591</v>
      </c>
      <c r="I34" s="6">
        <f t="shared" si="3"/>
        <v>11627906.976744186</v>
      </c>
      <c r="J34" s="6">
        <f t="shared" si="4"/>
        <v>11600928.074245939</v>
      </c>
      <c r="K34" s="6">
        <f t="shared" si="5"/>
        <v>11574074.074074073</v>
      </c>
      <c r="L34" s="6">
        <f t="shared" si="6"/>
        <v>298397551.50126255</v>
      </c>
      <c r="M34" s="6">
        <f t="shared" si="7"/>
        <v>11476828.903894713</v>
      </c>
      <c r="N34" s="6"/>
      <c r="O34" s="10">
        <f t="shared" si="8"/>
        <v>301.62521241722305</v>
      </c>
      <c r="P34" s="10">
        <f t="shared" si="9"/>
        <v>11.600969708354734</v>
      </c>
      <c r="Q34" s="10">
        <f t="shared" si="10"/>
        <v>298.39755150126257</v>
      </c>
      <c r="R34" s="10">
        <f t="shared" si="10"/>
        <v>11.476828903894713</v>
      </c>
      <c r="S34" s="6"/>
    </row>
    <row r="35" spans="1:19" x14ac:dyDescent="0.25">
      <c r="A35">
        <v>27</v>
      </c>
      <c r="B35" s="1">
        <f t="shared" si="11"/>
        <v>2700000000</v>
      </c>
      <c r="C35" s="1">
        <v>17460</v>
      </c>
      <c r="D35" s="1">
        <v>17240</v>
      </c>
      <c r="E35" s="1">
        <v>17180</v>
      </c>
      <c r="F35" s="6">
        <f t="shared" si="0"/>
        <v>309278350.51546389</v>
      </c>
      <c r="G35" s="6">
        <f t="shared" si="1"/>
        <v>313225058.0046404</v>
      </c>
      <c r="H35" s="6">
        <f t="shared" si="2"/>
        <v>314318975.55296856</v>
      </c>
      <c r="I35" s="6">
        <f t="shared" si="3"/>
        <v>11454753.722794959</v>
      </c>
      <c r="J35" s="6">
        <f t="shared" si="4"/>
        <v>11600928.074245941</v>
      </c>
      <c r="K35" s="6">
        <f t="shared" si="5"/>
        <v>11641443.538998835</v>
      </c>
      <c r="L35" s="6">
        <f t="shared" si="6"/>
        <v>309874380.40515727</v>
      </c>
      <c r="M35" s="6">
        <f t="shared" si="7"/>
        <v>11476828.903894713</v>
      </c>
      <c r="N35" s="6"/>
      <c r="O35" s="10">
        <f t="shared" si="8"/>
        <v>312.27412802435759</v>
      </c>
      <c r="P35" s="10">
        <f t="shared" si="9"/>
        <v>11.565708445346578</v>
      </c>
      <c r="Q35" s="10">
        <f t="shared" si="10"/>
        <v>309.87438040515724</v>
      </c>
      <c r="R35" s="10">
        <f t="shared" si="10"/>
        <v>11.476828903894713</v>
      </c>
      <c r="S35" s="6"/>
    </row>
    <row r="36" spans="1:19" x14ac:dyDescent="0.25">
      <c r="A36">
        <v>28</v>
      </c>
      <c r="B36" s="1">
        <f t="shared" si="11"/>
        <v>2800000000</v>
      </c>
      <c r="C36" s="1">
        <v>17150</v>
      </c>
      <c r="D36" s="1">
        <v>17140</v>
      </c>
      <c r="E36" s="1">
        <v>16970</v>
      </c>
      <c r="F36" s="6">
        <f t="shared" si="0"/>
        <v>326530612.24489796</v>
      </c>
      <c r="G36" s="6">
        <f t="shared" si="1"/>
        <v>326721120.18669778</v>
      </c>
      <c r="H36" s="6">
        <f t="shared" si="2"/>
        <v>329994107.24808484</v>
      </c>
      <c r="I36" s="6">
        <f t="shared" si="3"/>
        <v>11661807.580174927</v>
      </c>
      <c r="J36" s="6">
        <f t="shared" si="4"/>
        <v>11668611.435239207</v>
      </c>
      <c r="K36" s="6">
        <f t="shared" si="5"/>
        <v>11785503.830288744</v>
      </c>
      <c r="L36" s="6">
        <f t="shared" si="6"/>
        <v>321351209.30905199</v>
      </c>
      <c r="M36" s="6">
        <f t="shared" si="7"/>
        <v>11476828.903894713</v>
      </c>
      <c r="N36" s="6"/>
      <c r="O36" s="10">
        <f t="shared" si="8"/>
        <v>327.74861322656017</v>
      </c>
      <c r="P36" s="10">
        <f t="shared" si="9"/>
        <v>11.705307615234293</v>
      </c>
      <c r="Q36" s="10">
        <f t="shared" si="10"/>
        <v>321.35120930905197</v>
      </c>
      <c r="R36" s="10">
        <f t="shared" si="10"/>
        <v>11.476828903894713</v>
      </c>
      <c r="S36" s="6"/>
    </row>
    <row r="37" spans="1:19" x14ac:dyDescent="0.25">
      <c r="A37">
        <v>29</v>
      </c>
      <c r="B37" s="1">
        <f t="shared" si="11"/>
        <v>2900000000</v>
      </c>
      <c r="C37" s="1">
        <v>17310</v>
      </c>
      <c r="D37" s="1">
        <v>17160</v>
      </c>
      <c r="E37" s="1">
        <v>17510</v>
      </c>
      <c r="F37" s="6">
        <f t="shared" si="0"/>
        <v>335066435.5863663</v>
      </c>
      <c r="G37" s="6">
        <f t="shared" si="1"/>
        <v>337995337.99533802</v>
      </c>
      <c r="H37" s="6">
        <f t="shared" si="2"/>
        <v>331239291.83323812</v>
      </c>
      <c r="I37" s="6">
        <f t="shared" si="3"/>
        <v>11554015.020219527</v>
      </c>
      <c r="J37" s="6">
        <f t="shared" si="4"/>
        <v>11655011.655011656</v>
      </c>
      <c r="K37" s="6">
        <f t="shared" si="5"/>
        <v>11422044.545973729</v>
      </c>
      <c r="L37" s="6">
        <f t="shared" si="6"/>
        <v>332828038.21294665</v>
      </c>
      <c r="M37" s="6">
        <f t="shared" si="7"/>
        <v>11476828.903894711</v>
      </c>
      <c r="N37" s="6"/>
      <c r="O37" s="10">
        <f t="shared" si="8"/>
        <v>334.7670218049808</v>
      </c>
      <c r="P37" s="10">
        <f t="shared" si="9"/>
        <v>11.543690407068302</v>
      </c>
      <c r="Q37" s="10">
        <f t="shared" si="10"/>
        <v>332.82803821294664</v>
      </c>
      <c r="R37" s="10">
        <f t="shared" si="10"/>
        <v>11.476828903894711</v>
      </c>
      <c r="S37" s="6"/>
    </row>
    <row r="38" spans="1:19" x14ac:dyDescent="0.25">
      <c r="A38">
        <v>30</v>
      </c>
      <c r="B38" s="1">
        <f t="shared" si="11"/>
        <v>3000000000</v>
      </c>
      <c r="C38" s="1">
        <v>17200</v>
      </c>
      <c r="D38" s="1">
        <v>16990</v>
      </c>
      <c r="E38" s="1">
        <v>17290</v>
      </c>
      <c r="F38" s="6">
        <f t="shared" si="0"/>
        <v>348837209.30232555</v>
      </c>
      <c r="G38" s="6">
        <f t="shared" si="1"/>
        <v>353148911.12419075</v>
      </c>
      <c r="H38" s="6">
        <f t="shared" si="2"/>
        <v>347021399.6529786</v>
      </c>
      <c r="I38" s="6">
        <f t="shared" si="3"/>
        <v>11627906.976744184</v>
      </c>
      <c r="J38" s="6">
        <f t="shared" si="4"/>
        <v>11771630.370806359</v>
      </c>
      <c r="K38" s="6">
        <f t="shared" si="5"/>
        <v>11567379.98843262</v>
      </c>
      <c r="L38" s="6">
        <f t="shared" si="6"/>
        <v>344304867.11684138</v>
      </c>
      <c r="M38" s="6">
        <f t="shared" si="7"/>
        <v>11476828.903894713</v>
      </c>
      <c r="N38" s="6"/>
      <c r="O38" s="10">
        <f t="shared" si="8"/>
        <v>349.66917335983163</v>
      </c>
      <c r="P38" s="10">
        <f t="shared" si="9"/>
        <v>11.655639111994386</v>
      </c>
      <c r="Q38" s="10">
        <f t="shared" si="10"/>
        <v>344.30486711684136</v>
      </c>
      <c r="R38" s="10">
        <f t="shared" si="10"/>
        <v>11.476828903894713</v>
      </c>
      <c r="S38" s="6"/>
    </row>
    <row r="39" spans="1:19" x14ac:dyDescent="0.25">
      <c r="A39">
        <v>31</v>
      </c>
      <c r="B39" s="1">
        <f t="shared" si="11"/>
        <v>3100000000</v>
      </c>
      <c r="C39" s="1">
        <v>17300</v>
      </c>
      <c r="D39" s="1">
        <v>17370</v>
      </c>
      <c r="E39" s="1">
        <v>17050</v>
      </c>
      <c r="F39" s="6">
        <f t="shared" si="0"/>
        <v>358381502.89017338</v>
      </c>
      <c r="G39" s="6">
        <f t="shared" si="1"/>
        <v>356937248.12895799</v>
      </c>
      <c r="H39" s="6">
        <f t="shared" si="2"/>
        <v>363636363.63636363</v>
      </c>
      <c r="I39" s="6">
        <f t="shared" si="3"/>
        <v>11560693.641618496</v>
      </c>
      <c r="J39" s="6">
        <f t="shared" si="4"/>
        <v>11514104.778353484</v>
      </c>
      <c r="K39" s="6">
        <f t="shared" si="5"/>
        <v>11730205.278592374</v>
      </c>
      <c r="L39" s="6">
        <f t="shared" si="6"/>
        <v>355781696.0207361</v>
      </c>
      <c r="M39" s="6">
        <f t="shared" si="7"/>
        <v>11476828.903894713</v>
      </c>
      <c r="N39" s="6"/>
      <c r="O39" s="10">
        <f t="shared" si="8"/>
        <v>359.65170488516503</v>
      </c>
      <c r="P39" s="10">
        <f t="shared" si="9"/>
        <v>11.60166789952145</v>
      </c>
      <c r="Q39" s="10">
        <f t="shared" si="10"/>
        <v>355.78169602073609</v>
      </c>
      <c r="R39" s="10">
        <f t="shared" si="10"/>
        <v>11.476828903894713</v>
      </c>
      <c r="S39" s="6"/>
    </row>
    <row r="40" spans="1:19" x14ac:dyDescent="0.25">
      <c r="A40">
        <v>32</v>
      </c>
      <c r="B40" s="1">
        <f t="shared" si="11"/>
        <v>3200000000</v>
      </c>
      <c r="C40" s="1">
        <v>17220</v>
      </c>
      <c r="D40" s="1">
        <v>16940</v>
      </c>
      <c r="E40" s="1">
        <v>17500</v>
      </c>
      <c r="F40" s="6">
        <f t="shared" si="0"/>
        <v>371660859.46573752</v>
      </c>
      <c r="G40" s="6">
        <f t="shared" si="1"/>
        <v>377804014.16765052</v>
      </c>
      <c r="H40" s="6">
        <f t="shared" si="2"/>
        <v>365714285.71428573</v>
      </c>
      <c r="I40" s="6">
        <f t="shared" si="3"/>
        <v>11614401.858304298</v>
      </c>
      <c r="J40" s="6">
        <f t="shared" si="4"/>
        <v>11806375.442739079</v>
      </c>
      <c r="K40" s="6">
        <f t="shared" si="5"/>
        <v>11428571.428571429</v>
      </c>
      <c r="L40" s="6">
        <f t="shared" si="6"/>
        <v>367258524.92463082</v>
      </c>
      <c r="M40" s="6">
        <f t="shared" si="7"/>
        <v>11476828.903894713</v>
      </c>
      <c r="N40" s="6"/>
      <c r="O40" s="10">
        <f t="shared" si="8"/>
        <v>371.72638644922466</v>
      </c>
      <c r="P40" s="10">
        <f t="shared" si="9"/>
        <v>11.616449576538271</v>
      </c>
      <c r="Q40" s="10">
        <f t="shared" si="10"/>
        <v>367.25852492463082</v>
      </c>
      <c r="R40" s="10">
        <f t="shared" si="10"/>
        <v>11.476828903894713</v>
      </c>
      <c r="S40" s="6"/>
    </row>
    <row r="41" spans="1:19" x14ac:dyDescent="0.25">
      <c r="A41">
        <v>33</v>
      </c>
      <c r="B41" s="1">
        <f t="shared" si="11"/>
        <v>3300000000</v>
      </c>
      <c r="C41" s="1">
        <v>17710</v>
      </c>
      <c r="D41" s="1">
        <v>17660</v>
      </c>
      <c r="E41" s="1">
        <v>17700</v>
      </c>
      <c r="F41" s="6">
        <f t="shared" si="0"/>
        <v>372670807.45341617</v>
      </c>
      <c r="G41" s="6">
        <f t="shared" si="1"/>
        <v>373725934.31483579</v>
      </c>
      <c r="H41" s="6">
        <f t="shared" si="2"/>
        <v>372881355.93220341</v>
      </c>
      <c r="I41" s="6">
        <f t="shared" si="3"/>
        <v>11293054.771315642</v>
      </c>
      <c r="J41" s="6">
        <f t="shared" si="4"/>
        <v>11325028.312570781</v>
      </c>
      <c r="K41" s="6">
        <f t="shared" si="5"/>
        <v>11299435.028248588</v>
      </c>
      <c r="L41" s="6">
        <f>$L$40+$L$9*(A41-32)*40%</f>
        <v>371849256.48618871</v>
      </c>
      <c r="M41" s="6">
        <f t="shared" si="7"/>
        <v>11268159.287460264</v>
      </c>
      <c r="N41" s="6"/>
      <c r="O41" s="10">
        <f t="shared" si="8"/>
        <v>373.09269923348506</v>
      </c>
      <c r="P41" s="10">
        <f t="shared" si="9"/>
        <v>11.30583937071167</v>
      </c>
      <c r="Q41" s="10">
        <f t="shared" si="10"/>
        <v>371.84925648618872</v>
      </c>
      <c r="R41" s="10">
        <f t="shared" si="10"/>
        <v>11.268159287460264</v>
      </c>
      <c r="S41" s="6"/>
    </row>
    <row r="42" spans="1:19" x14ac:dyDescent="0.25">
      <c r="A42">
        <v>34</v>
      </c>
      <c r="B42" s="1">
        <f t="shared" si="11"/>
        <v>3400000000</v>
      </c>
      <c r="C42" s="1">
        <v>17580</v>
      </c>
      <c r="D42" s="1">
        <v>18030</v>
      </c>
      <c r="E42" s="1">
        <v>17720</v>
      </c>
      <c r="F42" s="6">
        <f t="shared" si="0"/>
        <v>386803185.43799776</v>
      </c>
      <c r="G42" s="6">
        <f t="shared" si="1"/>
        <v>377149195.78480315</v>
      </c>
      <c r="H42" s="6">
        <f t="shared" si="2"/>
        <v>383747178.32957107</v>
      </c>
      <c r="I42" s="6">
        <f t="shared" si="3"/>
        <v>11376564.27758817</v>
      </c>
      <c r="J42" s="6">
        <f t="shared" si="4"/>
        <v>11092623.405435387</v>
      </c>
      <c r="K42" s="6">
        <f t="shared" si="5"/>
        <v>11286681.715575621</v>
      </c>
      <c r="L42" s="6">
        <f t="shared" ref="L42:L72" si="12">$L$40+$L$9*(A42-32)*40%</f>
        <v>376439988.0477466</v>
      </c>
      <c r="M42" s="6">
        <f t="shared" si="7"/>
        <v>11071764.354345487</v>
      </c>
      <c r="N42" s="6"/>
      <c r="O42" s="10">
        <f t="shared" si="8"/>
        <v>382.56651985079066</v>
      </c>
      <c r="P42" s="10">
        <f t="shared" si="9"/>
        <v>11.251956466199726</v>
      </c>
      <c r="Q42" s="10">
        <f t="shared" si="10"/>
        <v>376.43998804774662</v>
      </c>
      <c r="R42" s="10">
        <f t="shared" si="10"/>
        <v>11.071764354345488</v>
      </c>
      <c r="S42" s="6"/>
    </row>
    <row r="43" spans="1:19" x14ac:dyDescent="0.25">
      <c r="A43">
        <v>35</v>
      </c>
      <c r="B43" s="1">
        <f t="shared" si="11"/>
        <v>3500000000</v>
      </c>
      <c r="C43" s="1">
        <v>18490</v>
      </c>
      <c r="D43" s="1">
        <v>18690</v>
      </c>
      <c r="E43" s="1">
        <v>18270</v>
      </c>
      <c r="F43" s="6">
        <f t="shared" si="0"/>
        <v>378583017.84748513</v>
      </c>
      <c r="G43" s="6">
        <f t="shared" si="1"/>
        <v>374531835.20599252</v>
      </c>
      <c r="H43" s="6">
        <f t="shared" si="2"/>
        <v>383141762.45210725</v>
      </c>
      <c r="I43" s="6">
        <f t="shared" si="3"/>
        <v>10816657.65278529</v>
      </c>
      <c r="J43" s="6">
        <f t="shared" si="4"/>
        <v>10700909.577314071</v>
      </c>
      <c r="K43" s="6">
        <f t="shared" si="5"/>
        <v>10946907.498631636</v>
      </c>
      <c r="L43" s="6">
        <f t="shared" si="12"/>
        <v>381030719.60930449</v>
      </c>
      <c r="M43" s="6">
        <f t="shared" si="7"/>
        <v>10886591.988837272</v>
      </c>
      <c r="N43" s="6"/>
      <c r="O43" s="10">
        <f t="shared" si="8"/>
        <v>378.75220516852829</v>
      </c>
      <c r="P43" s="10">
        <f t="shared" si="9"/>
        <v>10.821491576243666</v>
      </c>
      <c r="Q43" s="10">
        <f t="shared" si="10"/>
        <v>381.03071960930447</v>
      </c>
      <c r="R43" s="10">
        <f t="shared" si="10"/>
        <v>10.886591988837273</v>
      </c>
      <c r="S43" s="6"/>
    </row>
    <row r="44" spans="1:19" x14ac:dyDescent="0.25">
      <c r="A44">
        <v>36</v>
      </c>
      <c r="B44" s="1">
        <f t="shared" si="11"/>
        <v>3600000000</v>
      </c>
      <c r="C44" s="1">
        <v>18640</v>
      </c>
      <c r="D44" s="1">
        <v>18790</v>
      </c>
      <c r="E44" s="1">
        <v>18350</v>
      </c>
      <c r="F44" s="6">
        <f t="shared" si="0"/>
        <v>386266094.42060083</v>
      </c>
      <c r="G44" s="6">
        <f t="shared" si="1"/>
        <v>383182543.90633315</v>
      </c>
      <c r="H44" s="6">
        <f t="shared" si="2"/>
        <v>392370572.20708448</v>
      </c>
      <c r="I44" s="6">
        <f t="shared" si="3"/>
        <v>10729613.733905578</v>
      </c>
      <c r="J44" s="6">
        <f t="shared" si="4"/>
        <v>10643959.552953698</v>
      </c>
      <c r="K44" s="6">
        <f t="shared" si="5"/>
        <v>10899182.561307902</v>
      </c>
      <c r="L44" s="6">
        <f t="shared" si="12"/>
        <v>385621451.17086238</v>
      </c>
      <c r="M44" s="6">
        <f t="shared" si="7"/>
        <v>10711706.9769684</v>
      </c>
      <c r="N44" s="6"/>
      <c r="O44" s="10">
        <f t="shared" si="8"/>
        <v>387.27307017800615</v>
      </c>
      <c r="P44" s="10">
        <f t="shared" si="9"/>
        <v>10.757585282722392</v>
      </c>
      <c r="Q44" s="10">
        <f t="shared" si="10"/>
        <v>385.62145117086237</v>
      </c>
      <c r="R44" s="10">
        <f t="shared" si="10"/>
        <v>10.711706976968401</v>
      </c>
      <c r="S44" s="6"/>
    </row>
    <row r="45" spans="1:19" x14ac:dyDescent="0.25">
      <c r="A45">
        <v>37</v>
      </c>
      <c r="B45" s="1">
        <f t="shared" si="11"/>
        <v>3700000000</v>
      </c>
      <c r="C45" s="1">
        <v>18730</v>
      </c>
      <c r="D45" s="1">
        <v>18800</v>
      </c>
      <c r="E45" s="1">
        <v>19100</v>
      </c>
      <c r="F45" s="6">
        <f t="shared" si="0"/>
        <v>395088093.96689802</v>
      </c>
      <c r="G45" s="6">
        <f t="shared" si="1"/>
        <v>393617021.27659577</v>
      </c>
      <c r="H45" s="6">
        <f t="shared" si="2"/>
        <v>387434554.973822</v>
      </c>
      <c r="I45" s="6">
        <f t="shared" si="3"/>
        <v>10678056.593699947</v>
      </c>
      <c r="J45" s="6">
        <f t="shared" si="4"/>
        <v>10638297.872340426</v>
      </c>
      <c r="K45" s="6">
        <f t="shared" si="5"/>
        <v>10471204.188481675</v>
      </c>
      <c r="L45" s="6">
        <f t="shared" si="12"/>
        <v>390212182.73242027</v>
      </c>
      <c r="M45" s="6">
        <f t="shared" si="7"/>
        <v>10546275.208984332</v>
      </c>
      <c r="N45" s="6"/>
      <c r="O45" s="10">
        <f t="shared" si="8"/>
        <v>392.0465567391052</v>
      </c>
      <c r="P45" s="10">
        <f t="shared" si="9"/>
        <v>10.595852884840681</v>
      </c>
      <c r="Q45" s="10">
        <f t="shared" si="10"/>
        <v>390.21218273242027</v>
      </c>
      <c r="R45" s="10">
        <f t="shared" si="10"/>
        <v>10.546275208984332</v>
      </c>
      <c r="S45" s="6"/>
    </row>
    <row r="46" spans="1:19" x14ac:dyDescent="0.25">
      <c r="A46">
        <v>38</v>
      </c>
      <c r="B46" s="1">
        <f t="shared" si="11"/>
        <v>3800000000</v>
      </c>
      <c r="C46" s="1">
        <v>19470</v>
      </c>
      <c r="D46" s="1">
        <v>18880</v>
      </c>
      <c r="E46" s="1">
        <v>18920</v>
      </c>
      <c r="F46" s="6">
        <f t="shared" si="0"/>
        <v>390344119.15767848</v>
      </c>
      <c r="G46" s="6">
        <f t="shared" si="1"/>
        <v>402542372.88135594</v>
      </c>
      <c r="H46" s="6">
        <f t="shared" si="2"/>
        <v>401691331.92389005</v>
      </c>
      <c r="I46" s="6">
        <f t="shared" si="3"/>
        <v>10272213.662044171</v>
      </c>
      <c r="J46" s="6">
        <f t="shared" si="4"/>
        <v>10593220.338983051</v>
      </c>
      <c r="K46" s="6">
        <f t="shared" si="5"/>
        <v>10570824.524312897</v>
      </c>
      <c r="L46" s="6">
        <f t="shared" si="12"/>
        <v>394802914.29397815</v>
      </c>
      <c r="M46" s="6">
        <f t="shared" si="7"/>
        <v>10389550.376157319</v>
      </c>
      <c r="N46" s="6"/>
      <c r="O46" s="10">
        <f t="shared" si="8"/>
        <v>398.19260798764151</v>
      </c>
      <c r="P46" s="10">
        <f t="shared" si="9"/>
        <v>10.478752841780038</v>
      </c>
      <c r="Q46" s="10">
        <f t="shared" si="10"/>
        <v>394.80291429397818</v>
      </c>
      <c r="R46" s="10">
        <f t="shared" si="10"/>
        <v>10.389550376157318</v>
      </c>
      <c r="S46" s="6"/>
    </row>
    <row r="47" spans="1:19" x14ac:dyDescent="0.25">
      <c r="A47">
        <v>39</v>
      </c>
      <c r="B47" s="1">
        <f t="shared" si="11"/>
        <v>3900000000</v>
      </c>
      <c r="C47" s="1">
        <v>19340</v>
      </c>
      <c r="D47" s="1">
        <v>19650</v>
      </c>
      <c r="E47" s="1">
        <v>19780</v>
      </c>
      <c r="F47" s="6">
        <f t="shared" si="0"/>
        <v>403309203.7228542</v>
      </c>
      <c r="G47" s="6">
        <f t="shared" si="1"/>
        <v>396946564.88549614</v>
      </c>
      <c r="H47" s="6">
        <f t="shared" si="2"/>
        <v>394337714.86349845</v>
      </c>
      <c r="I47" s="6">
        <f t="shared" si="3"/>
        <v>10341261.633919338</v>
      </c>
      <c r="J47" s="6">
        <f t="shared" si="4"/>
        <v>10178117.048346056</v>
      </c>
      <c r="K47" s="6">
        <f t="shared" si="5"/>
        <v>10111223.458038421</v>
      </c>
      <c r="L47" s="6">
        <f t="shared" si="12"/>
        <v>399393645.85553604</v>
      </c>
      <c r="M47" s="6">
        <f t="shared" si="7"/>
        <v>10240862.714244515</v>
      </c>
      <c r="N47" s="6"/>
      <c r="O47" s="10">
        <f t="shared" si="8"/>
        <v>398.19782782394958</v>
      </c>
      <c r="P47" s="10">
        <f t="shared" si="9"/>
        <v>10.210200713434604</v>
      </c>
      <c r="Q47" s="10">
        <f t="shared" si="10"/>
        <v>399.39364585553602</v>
      </c>
      <c r="R47" s="10">
        <f t="shared" si="10"/>
        <v>10.240862714244514</v>
      </c>
      <c r="S47" s="6"/>
    </row>
    <row r="48" spans="1:19" x14ac:dyDescent="0.25">
      <c r="A48">
        <v>40</v>
      </c>
      <c r="B48" s="1">
        <f t="shared" si="11"/>
        <v>4000000000</v>
      </c>
      <c r="C48" s="1">
        <v>19890</v>
      </c>
      <c r="D48" s="1">
        <v>19730</v>
      </c>
      <c r="E48" s="1">
        <v>19870</v>
      </c>
      <c r="F48" s="6">
        <f t="shared" si="0"/>
        <v>402212166.91804928</v>
      </c>
      <c r="G48" s="6">
        <f t="shared" si="1"/>
        <v>405473897.61784083</v>
      </c>
      <c r="H48" s="6">
        <f t="shared" si="2"/>
        <v>402617010.56869656</v>
      </c>
      <c r="I48" s="6">
        <f t="shared" si="3"/>
        <v>10055304.172951233</v>
      </c>
      <c r="J48" s="6">
        <f t="shared" si="4"/>
        <v>10136847.440446021</v>
      </c>
      <c r="K48" s="6">
        <f t="shared" si="5"/>
        <v>10065425.264217414</v>
      </c>
      <c r="L48" s="6">
        <f t="shared" si="12"/>
        <v>403984377.41709387</v>
      </c>
      <c r="M48" s="6">
        <f t="shared" si="7"/>
        <v>10099609.435427347</v>
      </c>
      <c r="N48" s="6"/>
      <c r="O48" s="10">
        <f t="shared" si="8"/>
        <v>403.43435836819555</v>
      </c>
      <c r="P48" s="10">
        <f t="shared" si="9"/>
        <v>10.08585895920489</v>
      </c>
      <c r="Q48" s="10">
        <f t="shared" si="10"/>
        <v>403.98437741709387</v>
      </c>
      <c r="R48" s="10">
        <f t="shared" si="10"/>
        <v>10.099609435427347</v>
      </c>
      <c r="S48" s="6"/>
    </row>
    <row r="49" spans="1:21" x14ac:dyDescent="0.25">
      <c r="A49">
        <v>41</v>
      </c>
      <c r="B49" s="1">
        <f t="shared" si="11"/>
        <v>4100000000</v>
      </c>
      <c r="C49" s="1">
        <v>20110</v>
      </c>
      <c r="D49" s="1">
        <v>20470</v>
      </c>
      <c r="E49" s="1">
        <v>20620</v>
      </c>
      <c r="F49" s="6">
        <f t="shared" si="0"/>
        <v>407757334.65937346</v>
      </c>
      <c r="G49" s="6">
        <f t="shared" si="1"/>
        <v>400586223.74206156</v>
      </c>
      <c r="H49" s="6">
        <f t="shared" si="2"/>
        <v>397672162.94859362</v>
      </c>
      <c r="I49" s="6">
        <f t="shared" si="3"/>
        <v>9945300.8453505728</v>
      </c>
      <c r="J49" s="6">
        <f t="shared" si="4"/>
        <v>9770395.701025892</v>
      </c>
      <c r="K49" s="6">
        <f t="shared" si="5"/>
        <v>9699321.0475266743</v>
      </c>
      <c r="L49" s="6">
        <f t="shared" si="12"/>
        <v>408575108.97865176</v>
      </c>
      <c r="M49" s="6">
        <f t="shared" si="7"/>
        <v>9965246.5604549218</v>
      </c>
      <c r="N49" s="6"/>
      <c r="O49" s="10">
        <f t="shared" si="8"/>
        <v>402.00524045000952</v>
      </c>
      <c r="P49" s="10">
        <f t="shared" si="9"/>
        <v>9.8050058646343796</v>
      </c>
      <c r="Q49" s="10">
        <f t="shared" si="10"/>
        <v>408.57510897865177</v>
      </c>
      <c r="R49" s="10">
        <f t="shared" si="10"/>
        <v>9.9652465604549221</v>
      </c>
      <c r="S49" s="6"/>
    </row>
    <row r="50" spans="1:21" x14ac:dyDescent="0.25">
      <c r="A50">
        <v>42</v>
      </c>
      <c r="B50" s="1">
        <f t="shared" si="11"/>
        <v>4200000000</v>
      </c>
      <c r="C50" s="1">
        <v>20240</v>
      </c>
      <c r="D50" s="1">
        <v>20850</v>
      </c>
      <c r="E50" s="1">
        <v>20250</v>
      </c>
      <c r="F50" s="6">
        <f t="shared" si="0"/>
        <v>415019762.84584981</v>
      </c>
      <c r="G50" s="6">
        <f t="shared" si="1"/>
        <v>402877697.8417266</v>
      </c>
      <c r="H50" s="6">
        <f t="shared" si="2"/>
        <v>414814814.81481481</v>
      </c>
      <c r="I50" s="6">
        <f t="shared" si="3"/>
        <v>9881422.9249011856</v>
      </c>
      <c r="J50" s="6">
        <f t="shared" si="4"/>
        <v>9592326.1390887294</v>
      </c>
      <c r="K50" s="6">
        <f t="shared" si="5"/>
        <v>9876543.2098765429</v>
      </c>
      <c r="L50" s="6">
        <f t="shared" si="12"/>
        <v>413165840.54020965</v>
      </c>
      <c r="M50" s="6">
        <f t="shared" si="7"/>
        <v>9837281.9176240396</v>
      </c>
      <c r="N50" s="6"/>
      <c r="O50" s="10">
        <f t="shared" si="8"/>
        <v>410.90409183413044</v>
      </c>
      <c r="P50" s="10">
        <f t="shared" si="9"/>
        <v>9.783430757955486</v>
      </c>
      <c r="Q50" s="10">
        <f t="shared" si="10"/>
        <v>413.16584054020967</v>
      </c>
      <c r="R50" s="10">
        <f t="shared" si="10"/>
        <v>9.8372819176240398</v>
      </c>
      <c r="S50" s="6"/>
    </row>
    <row r="51" spans="1:21" x14ac:dyDescent="0.25">
      <c r="A51">
        <v>43</v>
      </c>
      <c r="B51" s="1">
        <f t="shared" si="11"/>
        <v>4300000000</v>
      </c>
      <c r="C51" s="1">
        <v>21090</v>
      </c>
      <c r="D51" s="1">
        <v>20720</v>
      </c>
      <c r="E51" s="1">
        <v>21170</v>
      </c>
      <c r="F51" s="6">
        <f t="shared" si="0"/>
        <v>407776197.24988145</v>
      </c>
      <c r="G51" s="6">
        <f t="shared" si="1"/>
        <v>415057915.05791503</v>
      </c>
      <c r="H51" s="6">
        <f t="shared" si="2"/>
        <v>406235238.54511106</v>
      </c>
      <c r="I51" s="6">
        <f t="shared" si="3"/>
        <v>9483167.3779042196</v>
      </c>
      <c r="J51" s="6">
        <f t="shared" si="4"/>
        <v>9652509.6525096521</v>
      </c>
      <c r="K51" s="6">
        <f t="shared" si="5"/>
        <v>9447331.128956072</v>
      </c>
      <c r="L51" s="6">
        <f t="shared" si="12"/>
        <v>417756572.10176754</v>
      </c>
      <c r="M51" s="6">
        <f t="shared" si="7"/>
        <v>9715269.1186457574</v>
      </c>
      <c r="N51" s="6"/>
      <c r="O51" s="10">
        <f t="shared" si="8"/>
        <v>409.6897836176359</v>
      </c>
      <c r="P51" s="10">
        <f t="shared" si="9"/>
        <v>9.5276693864566475</v>
      </c>
      <c r="Q51" s="10">
        <f t="shared" si="10"/>
        <v>417.75657210176752</v>
      </c>
      <c r="R51" s="10">
        <f t="shared" si="10"/>
        <v>9.7152691186457574</v>
      </c>
      <c r="S51" s="6"/>
    </row>
    <row r="52" spans="1:21" x14ac:dyDescent="0.25">
      <c r="A52">
        <v>44</v>
      </c>
      <c r="B52" s="1">
        <f t="shared" si="11"/>
        <v>4400000000</v>
      </c>
      <c r="C52" s="1">
        <v>21220</v>
      </c>
      <c r="D52" s="1">
        <v>20660</v>
      </c>
      <c r="E52" s="1">
        <v>20930</v>
      </c>
      <c r="F52" s="6">
        <f t="shared" si="0"/>
        <v>414703110.27332705</v>
      </c>
      <c r="G52" s="6">
        <f t="shared" si="1"/>
        <v>425943852.85575992</v>
      </c>
      <c r="H52" s="6">
        <f t="shared" si="2"/>
        <v>420449116.10129005</v>
      </c>
      <c r="I52" s="6">
        <f t="shared" si="3"/>
        <v>9425070.688030161</v>
      </c>
      <c r="J52" s="6">
        <f t="shared" si="4"/>
        <v>9680542.1103581805</v>
      </c>
      <c r="K52" s="6">
        <f t="shared" si="5"/>
        <v>9555661.7295747735</v>
      </c>
      <c r="L52" s="6">
        <f t="shared" si="12"/>
        <v>422347303.66332543</v>
      </c>
      <c r="M52" s="6">
        <f t="shared" si="7"/>
        <v>9598802.3559846692</v>
      </c>
      <c r="N52" s="6"/>
      <c r="O52" s="10">
        <f t="shared" si="8"/>
        <v>420.36535974345901</v>
      </c>
      <c r="P52" s="10">
        <f t="shared" si="9"/>
        <v>9.5537581759877046</v>
      </c>
      <c r="Q52" s="10">
        <f t="shared" si="10"/>
        <v>422.34730366332542</v>
      </c>
      <c r="R52" s="10">
        <f t="shared" si="10"/>
        <v>9.5988023559846685</v>
      </c>
      <c r="S52" s="6"/>
    </row>
    <row r="53" spans="1:21" x14ac:dyDescent="0.25">
      <c r="A53">
        <v>45</v>
      </c>
      <c r="B53" s="1">
        <f t="shared" si="11"/>
        <v>4500000000</v>
      </c>
      <c r="C53" s="1">
        <v>21550</v>
      </c>
      <c r="D53" s="1">
        <v>21390</v>
      </c>
      <c r="E53" s="1">
        <v>21770</v>
      </c>
      <c r="F53" s="6">
        <f t="shared" si="0"/>
        <v>417633410.67285383</v>
      </c>
      <c r="G53" s="6">
        <f t="shared" si="1"/>
        <v>420757363.25385696</v>
      </c>
      <c r="H53" s="6">
        <f t="shared" si="2"/>
        <v>413412953.6058796</v>
      </c>
      <c r="I53" s="6">
        <f t="shared" si="3"/>
        <v>9280742.4593967516</v>
      </c>
      <c r="J53" s="6">
        <f t="shared" si="4"/>
        <v>9350163.6278634872</v>
      </c>
      <c r="K53" s="6">
        <f t="shared" si="5"/>
        <v>9186954.5245751031</v>
      </c>
      <c r="L53" s="6">
        <f t="shared" si="12"/>
        <v>426938035.22488332</v>
      </c>
      <c r="M53" s="6">
        <f t="shared" si="7"/>
        <v>9487511.8938862961</v>
      </c>
      <c r="N53" s="6"/>
      <c r="O53" s="10">
        <f t="shared" si="8"/>
        <v>417.2679091775301</v>
      </c>
      <c r="P53" s="10">
        <f t="shared" si="9"/>
        <v>9.2726202039451131</v>
      </c>
      <c r="Q53" s="10">
        <f t="shared" si="10"/>
        <v>426.93803522488332</v>
      </c>
      <c r="R53" s="10">
        <f t="shared" si="10"/>
        <v>9.4875118938862961</v>
      </c>
      <c r="S53" s="6"/>
    </row>
    <row r="54" spans="1:21" x14ac:dyDescent="0.25">
      <c r="A54">
        <v>46</v>
      </c>
      <c r="B54" s="1">
        <f t="shared" si="11"/>
        <v>4600000000</v>
      </c>
      <c r="C54" s="1">
        <v>21630</v>
      </c>
      <c r="D54" s="1">
        <v>21770</v>
      </c>
      <c r="E54" s="1">
        <v>22540</v>
      </c>
      <c r="F54" s="6">
        <f t="shared" si="0"/>
        <v>425335182.61673605</v>
      </c>
      <c r="G54" s="6">
        <f t="shared" si="1"/>
        <v>422599908.13045478</v>
      </c>
      <c r="H54" s="6">
        <f t="shared" si="2"/>
        <v>408163265.30612242</v>
      </c>
      <c r="I54" s="6">
        <f t="shared" si="3"/>
        <v>9246417.0134073049</v>
      </c>
      <c r="J54" s="6">
        <f t="shared" si="4"/>
        <v>9186954.5245751031</v>
      </c>
      <c r="K54" s="6">
        <f t="shared" si="5"/>
        <v>8873114.4631765746</v>
      </c>
      <c r="L54" s="6">
        <f t="shared" si="12"/>
        <v>431528766.78644121</v>
      </c>
      <c r="M54" s="6">
        <f t="shared" si="7"/>
        <v>9381060.1475313306</v>
      </c>
      <c r="N54" s="6"/>
      <c r="O54" s="10">
        <f t="shared" si="8"/>
        <v>418.69945201777108</v>
      </c>
      <c r="P54" s="10">
        <f t="shared" si="9"/>
        <v>9.1021620003863273</v>
      </c>
      <c r="Q54" s="10">
        <f t="shared" si="10"/>
        <v>431.52876678644122</v>
      </c>
      <c r="R54" s="10">
        <f t="shared" si="10"/>
        <v>9.3810601475313309</v>
      </c>
      <c r="S54" s="6"/>
    </row>
    <row r="55" spans="1:21" x14ac:dyDescent="0.25">
      <c r="A55">
        <v>47</v>
      </c>
      <c r="B55" s="1">
        <f t="shared" si="11"/>
        <v>4700000000</v>
      </c>
      <c r="C55" s="1">
        <v>22870</v>
      </c>
      <c r="D55" s="1">
        <v>22240</v>
      </c>
      <c r="E55" s="1">
        <v>24320</v>
      </c>
      <c r="F55" s="6">
        <f t="shared" si="0"/>
        <v>411018801.92391777</v>
      </c>
      <c r="G55" s="6">
        <f t="shared" si="1"/>
        <v>422661870.50359714</v>
      </c>
      <c r="H55" s="6">
        <f t="shared" si="2"/>
        <v>386513157.89473683</v>
      </c>
      <c r="I55" s="6">
        <f t="shared" si="3"/>
        <v>8745080.89199825</v>
      </c>
      <c r="J55" s="6">
        <f t="shared" si="4"/>
        <v>8992805.7553956844</v>
      </c>
      <c r="K55" s="6">
        <f t="shared" si="5"/>
        <v>8223684.2105263155</v>
      </c>
      <c r="L55" s="6">
        <f t="shared" si="12"/>
        <v>436119498.3479991</v>
      </c>
      <c r="M55" s="6">
        <f t="shared" si="7"/>
        <v>9279138.2627233844</v>
      </c>
      <c r="N55" s="6"/>
      <c r="O55" s="10">
        <f t="shared" si="8"/>
        <v>406.73127677408394</v>
      </c>
      <c r="P55" s="10">
        <f t="shared" si="9"/>
        <v>8.6538569526400853</v>
      </c>
      <c r="Q55" s="10">
        <f t="shared" si="10"/>
        <v>436.11949834799907</v>
      </c>
      <c r="R55" s="10">
        <f t="shared" si="10"/>
        <v>9.279138262723384</v>
      </c>
      <c r="S55" s="6"/>
    </row>
    <row r="56" spans="1:21" x14ac:dyDescent="0.25">
      <c r="A56">
        <v>48</v>
      </c>
      <c r="B56" s="1">
        <f t="shared" si="11"/>
        <v>4800000000</v>
      </c>
      <c r="C56" s="1">
        <v>23750</v>
      </c>
      <c r="D56" s="1">
        <v>22590</v>
      </c>
      <c r="E56" s="1">
        <v>22860</v>
      </c>
      <c r="F56" s="6">
        <f t="shared" si="0"/>
        <v>404210526.31578952</v>
      </c>
      <c r="G56" s="6">
        <f t="shared" si="1"/>
        <v>424966799.46879154</v>
      </c>
      <c r="H56" s="6">
        <f t="shared" si="2"/>
        <v>419947506.56167978</v>
      </c>
      <c r="I56" s="6">
        <f t="shared" si="3"/>
        <v>8421052.6315789483</v>
      </c>
      <c r="J56" s="6">
        <f t="shared" si="4"/>
        <v>8853474.9889331572</v>
      </c>
      <c r="K56" s="6">
        <f t="shared" si="5"/>
        <v>8748906.3867016621</v>
      </c>
      <c r="L56" s="6">
        <f t="shared" si="12"/>
        <v>440710229.90955698</v>
      </c>
      <c r="M56" s="6">
        <f t="shared" si="7"/>
        <v>9181463.1231157705</v>
      </c>
      <c r="N56" s="6"/>
      <c r="O56" s="10">
        <f t="shared" si="8"/>
        <v>416.37494411542031</v>
      </c>
      <c r="P56" s="10">
        <f t="shared" si="9"/>
        <v>8.6744780024045891</v>
      </c>
      <c r="Q56" s="10">
        <f t="shared" si="10"/>
        <v>440.71022990955697</v>
      </c>
      <c r="R56" s="10">
        <f t="shared" si="10"/>
        <v>9.1814631231157708</v>
      </c>
      <c r="S56" s="6"/>
    </row>
    <row r="57" spans="1:21" x14ac:dyDescent="0.25">
      <c r="A57">
        <v>49</v>
      </c>
      <c r="B57" s="1">
        <f t="shared" si="11"/>
        <v>4900000000</v>
      </c>
      <c r="C57" s="1">
        <v>23160</v>
      </c>
      <c r="D57" s="1">
        <v>26510</v>
      </c>
      <c r="E57" s="1">
        <v>24010</v>
      </c>
      <c r="F57" s="6">
        <f t="shared" si="0"/>
        <v>423143350.60449052</v>
      </c>
      <c r="G57" s="6">
        <f t="shared" si="1"/>
        <v>369671821.95397961</v>
      </c>
      <c r="H57" s="6">
        <f t="shared" si="2"/>
        <v>408163265.30612242</v>
      </c>
      <c r="I57" s="6">
        <f t="shared" si="3"/>
        <v>8635578.5837651119</v>
      </c>
      <c r="J57" s="6">
        <f t="shared" si="4"/>
        <v>7544322.8970199917</v>
      </c>
      <c r="K57" s="6">
        <f t="shared" si="5"/>
        <v>8329862.5572678046</v>
      </c>
      <c r="L57" s="6">
        <f t="shared" si="12"/>
        <v>445300961.47111487</v>
      </c>
      <c r="M57" s="6">
        <f t="shared" si="7"/>
        <v>9087774.7239003032</v>
      </c>
      <c r="N57" s="6"/>
      <c r="O57" s="10">
        <f t="shared" si="8"/>
        <v>400.32614595486422</v>
      </c>
      <c r="P57" s="10">
        <f t="shared" si="9"/>
        <v>8.1699213460176363</v>
      </c>
      <c r="Q57" s="10">
        <f t="shared" si="10"/>
        <v>445.30096147111487</v>
      </c>
      <c r="R57" s="10">
        <f t="shared" si="10"/>
        <v>9.0877747239003028</v>
      </c>
      <c r="S57" s="6"/>
    </row>
    <row r="58" spans="1:21" x14ac:dyDescent="0.25">
      <c r="A58">
        <v>50</v>
      </c>
      <c r="B58" s="1">
        <f t="shared" si="11"/>
        <v>5000000000</v>
      </c>
      <c r="C58" s="1">
        <v>24720</v>
      </c>
      <c r="D58" s="1">
        <v>24250</v>
      </c>
      <c r="E58" s="1">
        <v>25920</v>
      </c>
      <c r="F58" s="6">
        <f t="shared" si="0"/>
        <v>404530744.33656955</v>
      </c>
      <c r="G58" s="6">
        <f t="shared" si="1"/>
        <v>412371134.02061856</v>
      </c>
      <c r="H58" s="6">
        <f t="shared" si="2"/>
        <v>385802469.13580245</v>
      </c>
      <c r="I58" s="6">
        <f t="shared" si="3"/>
        <v>8090614.8867313908</v>
      </c>
      <c r="J58" s="6">
        <f t="shared" si="4"/>
        <v>8247422.6804123707</v>
      </c>
      <c r="K58" s="6">
        <f t="shared" si="5"/>
        <v>7716049.3827160485</v>
      </c>
      <c r="L58" s="6">
        <f t="shared" si="12"/>
        <v>449891693.03267276</v>
      </c>
      <c r="M58" s="6">
        <f t="shared" si="7"/>
        <v>8997833.8606534544</v>
      </c>
      <c r="N58" s="6"/>
      <c r="O58" s="10">
        <f t="shared" si="8"/>
        <v>400.90144916433019</v>
      </c>
      <c r="P58" s="10">
        <f t="shared" si="9"/>
        <v>8.0180289832866034</v>
      </c>
      <c r="Q58" s="10">
        <f t="shared" si="10"/>
        <v>449.89169303267278</v>
      </c>
      <c r="R58" s="10">
        <f t="shared" si="10"/>
        <v>8.9978338606534543</v>
      </c>
      <c r="S58" s="6"/>
    </row>
    <row r="59" spans="1:21" x14ac:dyDescent="0.25">
      <c r="A59">
        <v>51</v>
      </c>
      <c r="B59" s="1">
        <f t="shared" si="11"/>
        <v>5100000000</v>
      </c>
      <c r="C59" s="1">
        <v>24620</v>
      </c>
      <c r="D59" s="1">
        <v>24590</v>
      </c>
      <c r="E59" s="1">
        <v>24930</v>
      </c>
      <c r="F59" s="6">
        <f t="shared" si="0"/>
        <v>414297319.25264013</v>
      </c>
      <c r="G59" s="6">
        <f t="shared" si="1"/>
        <v>414802765.35176897</v>
      </c>
      <c r="H59" s="6">
        <f t="shared" si="2"/>
        <v>409145607.70156437</v>
      </c>
      <c r="I59" s="6">
        <f t="shared" si="3"/>
        <v>8123476.848090983</v>
      </c>
      <c r="J59" s="6">
        <f t="shared" si="4"/>
        <v>8133387.5559170386</v>
      </c>
      <c r="K59" s="6">
        <f t="shared" si="5"/>
        <v>8022462.8961091051</v>
      </c>
      <c r="L59" s="6">
        <f t="shared" si="12"/>
        <v>454482424.59423065</v>
      </c>
      <c r="M59" s="6">
        <f t="shared" si="7"/>
        <v>8911420.0900829546</v>
      </c>
      <c r="N59" s="6"/>
      <c r="O59" s="10">
        <f t="shared" si="8"/>
        <v>412.74856410199118</v>
      </c>
      <c r="P59" s="10">
        <f t="shared" si="9"/>
        <v>8.093109100039042</v>
      </c>
      <c r="Q59" s="10">
        <f t="shared" si="10"/>
        <v>454.48242459423068</v>
      </c>
      <c r="R59" s="10">
        <f t="shared" si="10"/>
        <v>8.9114200900829541</v>
      </c>
      <c r="S59" s="6"/>
    </row>
    <row r="60" spans="1:21" x14ac:dyDescent="0.25">
      <c r="A60">
        <v>52</v>
      </c>
      <c r="B60" s="1">
        <f t="shared" si="11"/>
        <v>5200000000</v>
      </c>
      <c r="C60" s="1">
        <v>29320</v>
      </c>
      <c r="D60" s="1">
        <v>29660</v>
      </c>
      <c r="E60" s="1">
        <v>29710</v>
      </c>
      <c r="F60" s="6">
        <f t="shared" si="0"/>
        <v>354706684.85675311</v>
      </c>
      <c r="G60" s="6">
        <f t="shared" si="1"/>
        <v>350640593.3917734</v>
      </c>
      <c r="H60" s="6">
        <f t="shared" si="2"/>
        <v>350050488.05116123</v>
      </c>
      <c r="I60" s="6">
        <f t="shared" si="3"/>
        <v>6821282.4010914061</v>
      </c>
      <c r="J60" s="6">
        <f t="shared" si="4"/>
        <v>6743088.3344571805</v>
      </c>
      <c r="K60" s="6">
        <f t="shared" si="5"/>
        <v>6731740.1548300236</v>
      </c>
      <c r="L60" s="6">
        <f t="shared" si="12"/>
        <v>459073156.15578854</v>
      </c>
      <c r="M60" s="6">
        <f t="shared" si="7"/>
        <v>8828329.9260728564</v>
      </c>
      <c r="N60" s="6"/>
      <c r="O60" s="10">
        <f t="shared" si="8"/>
        <v>351.79925543322929</v>
      </c>
      <c r="P60" s="10">
        <f t="shared" si="9"/>
        <v>6.7653702967928693</v>
      </c>
      <c r="Q60" s="10">
        <f t="shared" si="10"/>
        <v>459.07315615578852</v>
      </c>
      <c r="R60" s="10">
        <f t="shared" si="10"/>
        <v>8.8283299260728558</v>
      </c>
      <c r="S60" s="6"/>
      <c r="U60" t="s">
        <v>10</v>
      </c>
    </row>
    <row r="61" spans="1:21" x14ac:dyDescent="0.25">
      <c r="A61">
        <v>53</v>
      </c>
      <c r="B61" s="1">
        <f t="shared" si="11"/>
        <v>5300000000</v>
      </c>
      <c r="C61" s="1">
        <v>31480</v>
      </c>
      <c r="D61" s="1">
        <v>33440</v>
      </c>
      <c r="E61" s="1">
        <v>30760</v>
      </c>
      <c r="F61" s="6">
        <f t="shared" si="0"/>
        <v>336721728.08132148</v>
      </c>
      <c r="G61" s="6">
        <f t="shared" si="1"/>
        <v>316985645.93301433</v>
      </c>
      <c r="H61" s="6">
        <f t="shared" si="2"/>
        <v>344603381.01430428</v>
      </c>
      <c r="I61" s="6">
        <f t="shared" si="3"/>
        <v>6353240.1524777636</v>
      </c>
      <c r="J61" s="6">
        <f t="shared" si="4"/>
        <v>5980861.2440191386</v>
      </c>
      <c r="K61" s="6">
        <f t="shared" si="5"/>
        <v>6501950.5851755524</v>
      </c>
      <c r="L61" s="6">
        <f t="shared" si="12"/>
        <v>463663887.71734643</v>
      </c>
      <c r="M61" s="6">
        <f t="shared" si="7"/>
        <v>8748375.2399499323</v>
      </c>
      <c r="N61" s="6"/>
      <c r="O61" s="10">
        <f t="shared" si="8"/>
        <v>332.77025167621338</v>
      </c>
      <c r="P61" s="10">
        <f t="shared" si="9"/>
        <v>6.2786839938908185</v>
      </c>
      <c r="Q61" s="10">
        <f t="shared" si="10"/>
        <v>463.66388771734643</v>
      </c>
      <c r="R61" s="10">
        <f t="shared" si="10"/>
        <v>8.748375239949933</v>
      </c>
      <c r="S61" s="6"/>
    </row>
    <row r="62" spans="1:21" x14ac:dyDescent="0.25">
      <c r="A62">
        <v>54</v>
      </c>
      <c r="B62" s="1">
        <f t="shared" si="11"/>
        <v>5400000000</v>
      </c>
      <c r="C62" s="1">
        <v>32470</v>
      </c>
      <c r="D62" s="1">
        <v>31200</v>
      </c>
      <c r="E62" s="1">
        <v>31220</v>
      </c>
      <c r="F62" s="6">
        <f t="shared" si="0"/>
        <v>332614721.28118259</v>
      </c>
      <c r="G62" s="6">
        <f t="shared" si="1"/>
        <v>346153846.15384614</v>
      </c>
      <c r="H62" s="6">
        <f t="shared" si="2"/>
        <v>345932094.81101859</v>
      </c>
      <c r="I62" s="6">
        <f t="shared" si="3"/>
        <v>6159531.8755774554</v>
      </c>
      <c r="J62" s="6">
        <f t="shared" si="4"/>
        <v>6410256.41025641</v>
      </c>
      <c r="K62" s="6">
        <f t="shared" si="5"/>
        <v>6406149.9039077517</v>
      </c>
      <c r="L62" s="6">
        <f t="shared" si="12"/>
        <v>468254619.27890432</v>
      </c>
      <c r="M62" s="6">
        <f t="shared" si="7"/>
        <v>8671381.8384982273</v>
      </c>
      <c r="N62" s="6"/>
      <c r="O62" s="10">
        <f t="shared" si="8"/>
        <v>341.56688741534913</v>
      </c>
      <c r="P62" s="10">
        <f t="shared" si="9"/>
        <v>6.3253127299138727</v>
      </c>
      <c r="Q62" s="10">
        <f t="shared" si="10"/>
        <v>468.25461927890433</v>
      </c>
      <c r="R62" s="10">
        <f t="shared" si="10"/>
        <v>8.6713818384982275</v>
      </c>
      <c r="S62" s="6"/>
      <c r="U62" t="s">
        <v>9</v>
      </c>
    </row>
    <row r="63" spans="1:21" x14ac:dyDescent="0.25">
      <c r="A63">
        <v>55</v>
      </c>
      <c r="B63" s="1">
        <f t="shared" si="11"/>
        <v>5500000000</v>
      </c>
      <c r="C63" s="1">
        <v>24940</v>
      </c>
      <c r="D63" s="1">
        <v>24370</v>
      </c>
      <c r="E63" s="1">
        <v>33750</v>
      </c>
      <c r="F63" s="6">
        <f t="shared" si="0"/>
        <v>441058540.49719328</v>
      </c>
      <c r="G63" s="6">
        <f t="shared" si="1"/>
        <v>451374640.95199013</v>
      </c>
      <c r="H63" s="6">
        <f t="shared" si="2"/>
        <v>325925925.92592591</v>
      </c>
      <c r="I63" s="6">
        <f t="shared" si="3"/>
        <v>8019246.1908580596</v>
      </c>
      <c r="J63" s="6">
        <f t="shared" si="4"/>
        <v>8206811.653672548</v>
      </c>
      <c r="K63" s="6">
        <f t="shared" si="5"/>
        <v>5925925.9259259254</v>
      </c>
      <c r="L63" s="6">
        <f t="shared" si="12"/>
        <v>472845350.84046221</v>
      </c>
      <c r="M63" s="6">
        <f t="shared" si="7"/>
        <v>8597188.1970993131</v>
      </c>
      <c r="N63" s="6"/>
      <c r="O63" s="10">
        <f t="shared" si="8"/>
        <v>406.11970245836977</v>
      </c>
      <c r="P63" s="10">
        <f t="shared" si="9"/>
        <v>7.3839945901521782</v>
      </c>
      <c r="Q63" s="10">
        <f t="shared" si="10"/>
        <v>472.84535084046223</v>
      </c>
      <c r="R63" s="10">
        <f t="shared" si="10"/>
        <v>8.5971881970993138</v>
      </c>
      <c r="S63" s="6"/>
    </row>
    <row r="64" spans="1:21" x14ac:dyDescent="0.25">
      <c r="A64">
        <v>56</v>
      </c>
      <c r="B64" s="1">
        <f t="shared" si="11"/>
        <v>5600000000</v>
      </c>
      <c r="C64" s="1">
        <v>49560</v>
      </c>
      <c r="D64" s="1">
        <v>24900</v>
      </c>
      <c r="E64" s="1">
        <v>30820</v>
      </c>
      <c r="F64" s="6">
        <f t="shared" si="0"/>
        <v>225988700.56497175</v>
      </c>
      <c r="G64" s="6">
        <f t="shared" si="1"/>
        <v>449799196.78714859</v>
      </c>
      <c r="H64" s="6">
        <f t="shared" si="2"/>
        <v>363400389.35756004</v>
      </c>
      <c r="I64" s="6">
        <f t="shared" si="3"/>
        <v>4035512.5100887814</v>
      </c>
      <c r="J64" s="6">
        <f t="shared" si="4"/>
        <v>8032128.5140562253</v>
      </c>
      <c r="K64" s="6">
        <f t="shared" si="5"/>
        <v>6489292.6670992868</v>
      </c>
      <c r="L64" s="6">
        <f t="shared" si="12"/>
        <v>477436082.4020201</v>
      </c>
      <c r="M64" s="6">
        <f t="shared" si="7"/>
        <v>8525644.3286075015</v>
      </c>
      <c r="N64" s="6"/>
      <c r="O64" s="10">
        <f t="shared" si="8"/>
        <v>346.39609556989348</v>
      </c>
      <c r="P64" s="10">
        <f t="shared" si="9"/>
        <v>6.1856445637480979</v>
      </c>
      <c r="Q64" s="10">
        <f t="shared" si="10"/>
        <v>477.43608240202008</v>
      </c>
      <c r="R64" s="10">
        <f t="shared" si="10"/>
        <v>8.5256443286075019</v>
      </c>
      <c r="S64" s="6"/>
    </row>
    <row r="65" spans="1:19" x14ac:dyDescent="0.25">
      <c r="A65">
        <v>57</v>
      </c>
      <c r="B65" s="1">
        <f t="shared" si="11"/>
        <v>5700000000</v>
      </c>
      <c r="C65" s="1">
        <v>25300</v>
      </c>
      <c r="D65" s="1">
        <v>25320</v>
      </c>
      <c r="E65" s="1">
        <v>32510</v>
      </c>
      <c r="F65" s="6">
        <f t="shared" si="0"/>
        <v>450592885.37549406</v>
      </c>
      <c r="G65" s="6">
        <f t="shared" si="1"/>
        <v>450236966.82464457</v>
      </c>
      <c r="H65" s="6">
        <f t="shared" si="2"/>
        <v>350661334.97385418</v>
      </c>
      <c r="I65" s="6">
        <f t="shared" si="3"/>
        <v>7905138.3399209483</v>
      </c>
      <c r="J65" s="6">
        <f t="shared" si="4"/>
        <v>7898894.1548183253</v>
      </c>
      <c r="K65" s="6">
        <f t="shared" si="5"/>
        <v>6151953.2451553363</v>
      </c>
      <c r="L65" s="6">
        <f t="shared" si="12"/>
        <v>482026813.96357799</v>
      </c>
      <c r="M65" s="6">
        <f t="shared" si="7"/>
        <v>8456610.7712908424</v>
      </c>
      <c r="N65" s="6"/>
      <c r="O65" s="10">
        <f t="shared" si="8"/>
        <v>417.1637290579975</v>
      </c>
      <c r="P65" s="10">
        <f t="shared" si="9"/>
        <v>7.3186619132982038</v>
      </c>
      <c r="Q65" s="10">
        <f t="shared" si="10"/>
        <v>482.02681396357798</v>
      </c>
      <c r="R65" s="10">
        <f t="shared" si="10"/>
        <v>8.4566107712908423</v>
      </c>
      <c r="S65" s="6"/>
    </row>
    <row r="66" spans="1:19" x14ac:dyDescent="0.25">
      <c r="A66">
        <v>58</v>
      </c>
      <c r="B66" s="1">
        <f t="shared" si="11"/>
        <v>5800000000</v>
      </c>
      <c r="C66" s="1">
        <v>25370</v>
      </c>
      <c r="D66" s="1">
        <v>31220</v>
      </c>
      <c r="E66" s="1">
        <v>26380</v>
      </c>
      <c r="F66" s="6">
        <f t="shared" si="0"/>
        <v>457232952.3058731</v>
      </c>
      <c r="G66" s="6">
        <f t="shared" si="1"/>
        <v>371556694.42664957</v>
      </c>
      <c r="H66" s="6">
        <f t="shared" si="2"/>
        <v>439727065.95905989</v>
      </c>
      <c r="I66" s="6">
        <f t="shared" si="3"/>
        <v>7883326.7638943633</v>
      </c>
      <c r="J66" s="6">
        <f t="shared" si="4"/>
        <v>6406149.9039077517</v>
      </c>
      <c r="K66" s="6">
        <f t="shared" si="5"/>
        <v>7581501.1372251706</v>
      </c>
      <c r="L66" s="6">
        <f t="shared" si="12"/>
        <v>486617545.52513587</v>
      </c>
      <c r="M66" s="6">
        <f t="shared" si="7"/>
        <v>8389957.6814678591</v>
      </c>
      <c r="N66" s="6"/>
      <c r="O66" s="10">
        <f t="shared" si="8"/>
        <v>422.83890423052759</v>
      </c>
      <c r="P66" s="10">
        <f t="shared" si="9"/>
        <v>7.2903259350090952</v>
      </c>
      <c r="Q66" s="10">
        <f t="shared" si="10"/>
        <v>486.61754552513588</v>
      </c>
      <c r="R66" s="10">
        <f t="shared" si="10"/>
        <v>8.3899576814678589</v>
      </c>
      <c r="S66" s="6"/>
    </row>
    <row r="67" spans="1:19" x14ac:dyDescent="0.25">
      <c r="A67">
        <v>59</v>
      </c>
      <c r="B67" s="1">
        <f t="shared" si="11"/>
        <v>5900000000</v>
      </c>
      <c r="C67" s="1">
        <v>25590</v>
      </c>
      <c r="D67" s="1">
        <v>25510</v>
      </c>
      <c r="E67" s="1">
        <v>29370</v>
      </c>
      <c r="F67" s="6">
        <f t="shared" si="0"/>
        <v>461117624.07190305</v>
      </c>
      <c r="G67" s="6">
        <f t="shared" si="1"/>
        <v>462563700.5096041</v>
      </c>
      <c r="H67" s="6">
        <f t="shared" si="2"/>
        <v>401770514.13006467</v>
      </c>
      <c r="I67" s="6">
        <f t="shared" si="3"/>
        <v>7815552.9503712384</v>
      </c>
      <c r="J67" s="6">
        <f t="shared" si="4"/>
        <v>7840062.7205017647</v>
      </c>
      <c r="K67" s="6">
        <f t="shared" si="5"/>
        <v>6809669.731018045</v>
      </c>
      <c r="L67" s="6">
        <f t="shared" si="12"/>
        <v>491208277.08669376</v>
      </c>
      <c r="M67" s="6">
        <f t="shared" si="7"/>
        <v>8325564.0184185384</v>
      </c>
      <c r="N67" s="6"/>
      <c r="O67" s="10">
        <f t="shared" si="8"/>
        <v>441.81727957052397</v>
      </c>
      <c r="P67" s="10">
        <f t="shared" si="9"/>
        <v>7.4884284672970169</v>
      </c>
      <c r="Q67" s="10">
        <f t="shared" si="10"/>
        <v>491.20827708669378</v>
      </c>
      <c r="R67" s="10">
        <f t="shared" si="10"/>
        <v>8.3255640184185378</v>
      </c>
      <c r="S67" s="6"/>
    </row>
    <row r="68" spans="1:19" x14ac:dyDescent="0.25">
      <c r="A68">
        <v>60</v>
      </c>
      <c r="B68" s="1">
        <f t="shared" si="11"/>
        <v>6000000000</v>
      </c>
      <c r="C68" s="1">
        <v>31560</v>
      </c>
      <c r="D68" s="1">
        <v>31890</v>
      </c>
      <c r="E68" s="1">
        <v>30250</v>
      </c>
      <c r="F68" s="6">
        <f t="shared" si="0"/>
        <v>380228136.88212931</v>
      </c>
      <c r="G68" s="6">
        <f t="shared" si="1"/>
        <v>376293508.93697083</v>
      </c>
      <c r="H68" s="6">
        <f t="shared" si="2"/>
        <v>396694214.87603307</v>
      </c>
      <c r="I68" s="6">
        <f t="shared" si="3"/>
        <v>6337135.6147021549</v>
      </c>
      <c r="J68" s="6">
        <f t="shared" si="4"/>
        <v>6271558.4822828472</v>
      </c>
      <c r="K68" s="6">
        <f t="shared" si="5"/>
        <v>6611570.2479338842</v>
      </c>
      <c r="L68" s="6">
        <f t="shared" si="12"/>
        <v>495799008.64825165</v>
      </c>
      <c r="M68" s="6">
        <f t="shared" si="7"/>
        <v>8263316.8108041938</v>
      </c>
      <c r="N68" s="6"/>
      <c r="O68" s="10">
        <f t="shared" si="8"/>
        <v>384.40528689837771</v>
      </c>
      <c r="P68" s="10">
        <f t="shared" si="9"/>
        <v>6.406754781639628</v>
      </c>
      <c r="Q68" s="10">
        <f t="shared" si="10"/>
        <v>495.79900864825163</v>
      </c>
      <c r="R68" s="10">
        <f t="shared" si="10"/>
        <v>8.2633168108041932</v>
      </c>
      <c r="S68" s="6"/>
    </row>
    <row r="69" spans="1:19" x14ac:dyDescent="0.25">
      <c r="A69">
        <v>61</v>
      </c>
      <c r="B69" s="1">
        <f t="shared" si="11"/>
        <v>6100000000</v>
      </c>
      <c r="C69" s="1">
        <v>32890</v>
      </c>
      <c r="D69" s="1">
        <v>28400</v>
      </c>
      <c r="E69" s="1">
        <v>36350</v>
      </c>
      <c r="F69" s="6">
        <f t="shared" si="0"/>
        <v>370933414.41167527</v>
      </c>
      <c r="G69" s="6">
        <f t="shared" si="1"/>
        <v>429577464.78873241</v>
      </c>
      <c r="H69" s="6">
        <f t="shared" si="2"/>
        <v>335625859.6973865</v>
      </c>
      <c r="I69" s="6">
        <f t="shared" si="3"/>
        <v>6080875.646093037</v>
      </c>
      <c r="J69" s="6">
        <f t="shared" si="4"/>
        <v>7042253.5211267611</v>
      </c>
      <c r="K69" s="6">
        <f t="shared" si="5"/>
        <v>5502063.273727648</v>
      </c>
      <c r="L69" s="6">
        <f t="shared" si="12"/>
        <v>500389740.20980948</v>
      </c>
      <c r="M69" s="6">
        <f t="shared" si="7"/>
        <v>8203110.4952427782</v>
      </c>
      <c r="N69" s="6"/>
      <c r="O69" s="10">
        <f t="shared" si="8"/>
        <v>378.71224629926473</v>
      </c>
      <c r="P69" s="10">
        <f t="shared" si="9"/>
        <v>6.2083974803158153</v>
      </c>
      <c r="Q69" s="10">
        <f t="shared" si="10"/>
        <v>500.38974020980947</v>
      </c>
      <c r="R69" s="10">
        <f t="shared" si="10"/>
        <v>8.2031104952427789</v>
      </c>
      <c r="S69" s="6"/>
    </row>
    <row r="70" spans="1:19" x14ac:dyDescent="0.25">
      <c r="A70">
        <v>62</v>
      </c>
      <c r="B70" s="1">
        <f t="shared" si="11"/>
        <v>6200000000</v>
      </c>
      <c r="C70" s="1">
        <v>30690</v>
      </c>
      <c r="D70" s="1">
        <v>31590</v>
      </c>
      <c r="E70" s="1">
        <v>25520</v>
      </c>
      <c r="F70" s="6">
        <f t="shared" si="0"/>
        <v>404040404.04040402</v>
      </c>
      <c r="G70" s="6">
        <f t="shared" si="1"/>
        <v>392529281.41817033</v>
      </c>
      <c r="H70" s="6">
        <f t="shared" si="2"/>
        <v>485893416.92789972</v>
      </c>
      <c r="I70" s="6">
        <f t="shared" si="3"/>
        <v>6516780.7103290968</v>
      </c>
      <c r="J70" s="6">
        <f t="shared" si="4"/>
        <v>6331117.4422285538</v>
      </c>
      <c r="K70" s="6">
        <f t="shared" si="5"/>
        <v>7836990.5956112854</v>
      </c>
      <c r="L70" s="6">
        <f t="shared" si="12"/>
        <v>504980471.77136737</v>
      </c>
      <c r="M70" s="6">
        <f t="shared" si="7"/>
        <v>8144846.3188930219</v>
      </c>
      <c r="N70" s="6"/>
      <c r="O70" s="10">
        <f t="shared" si="8"/>
        <v>427.48770079549138</v>
      </c>
      <c r="P70" s="10">
        <f t="shared" si="9"/>
        <v>6.8949629160563131</v>
      </c>
      <c r="Q70" s="10">
        <f t="shared" si="10"/>
        <v>504.98047177136738</v>
      </c>
      <c r="R70" s="10">
        <f t="shared" si="10"/>
        <v>8.1448463188930216</v>
      </c>
      <c r="S70" s="6"/>
    </row>
    <row r="71" spans="1:19" x14ac:dyDescent="0.25">
      <c r="A71">
        <v>63</v>
      </c>
      <c r="B71" s="1">
        <f t="shared" si="11"/>
        <v>6300000000</v>
      </c>
      <c r="C71" s="1">
        <v>53060</v>
      </c>
      <c r="D71" s="1">
        <v>32600</v>
      </c>
      <c r="E71" s="1">
        <v>37140</v>
      </c>
      <c r="F71" s="6">
        <f t="shared" si="0"/>
        <v>237467018.469657</v>
      </c>
      <c r="G71" s="6">
        <f t="shared" si="1"/>
        <v>386503067.48466259</v>
      </c>
      <c r="H71" s="6">
        <f t="shared" si="2"/>
        <v>339256865.91276252</v>
      </c>
      <c r="I71" s="6">
        <f t="shared" si="3"/>
        <v>3769317.7534866193</v>
      </c>
      <c r="J71" s="6">
        <f t="shared" si="4"/>
        <v>6134969.3251533741</v>
      </c>
      <c r="K71" s="6">
        <f t="shared" si="5"/>
        <v>5385029.6176628973</v>
      </c>
      <c r="L71" s="6">
        <f t="shared" si="12"/>
        <v>509571203.33292526</v>
      </c>
      <c r="M71" s="6">
        <f t="shared" si="7"/>
        <v>8088431.7989353212</v>
      </c>
      <c r="N71" s="6"/>
      <c r="O71" s="10">
        <f t="shared" si="8"/>
        <v>321.07565062236068</v>
      </c>
      <c r="P71" s="10">
        <f t="shared" si="9"/>
        <v>5.096438898767631</v>
      </c>
      <c r="Q71" s="10">
        <f t="shared" si="10"/>
        <v>509.57120333292528</v>
      </c>
      <c r="R71" s="10">
        <f t="shared" si="10"/>
        <v>8.0884317989353214</v>
      </c>
      <c r="S71" s="6"/>
    </row>
    <row r="72" spans="1:19" x14ac:dyDescent="0.25">
      <c r="A72">
        <v>64</v>
      </c>
      <c r="B72" s="1">
        <f t="shared" si="11"/>
        <v>6400000000</v>
      </c>
      <c r="C72" s="1">
        <v>33520</v>
      </c>
      <c r="D72" s="1">
        <v>26740</v>
      </c>
      <c r="E72" s="1">
        <v>32570</v>
      </c>
      <c r="F72" s="6">
        <f t="shared" si="0"/>
        <v>381861575.17899758</v>
      </c>
      <c r="G72" s="6">
        <f t="shared" si="1"/>
        <v>478683620.04487658</v>
      </c>
      <c r="H72" s="6">
        <f t="shared" si="2"/>
        <v>392999692.96898991</v>
      </c>
      <c r="I72" s="6">
        <f t="shared" si="3"/>
        <v>5966587.1121718371</v>
      </c>
      <c r="J72" s="6">
        <f t="shared" si="4"/>
        <v>7479431.5632011965</v>
      </c>
      <c r="K72" s="6">
        <f t="shared" si="5"/>
        <v>6140620.2026404673</v>
      </c>
      <c r="L72" s="6">
        <f t="shared" si="12"/>
        <v>514161934.89448315</v>
      </c>
      <c r="M72" s="6">
        <f t="shared" si="7"/>
        <v>8033780.2327262992</v>
      </c>
      <c r="N72" s="6"/>
      <c r="O72" s="10">
        <f t="shared" si="8"/>
        <v>417.84829606428798</v>
      </c>
      <c r="P72" s="10">
        <f t="shared" si="9"/>
        <v>6.5288796260044997</v>
      </c>
      <c r="Q72" s="10">
        <f t="shared" si="10"/>
        <v>514.16193489448312</v>
      </c>
      <c r="R72" s="10">
        <f t="shared" si="10"/>
        <v>8.0337802327262988</v>
      </c>
      <c r="S72" s="6"/>
    </row>
    <row r="73" spans="1:19" x14ac:dyDescent="0.25">
      <c r="A73">
        <v>65</v>
      </c>
      <c r="B73" s="1">
        <f t="shared" si="11"/>
        <v>6500000000</v>
      </c>
      <c r="C73" s="1">
        <v>27310</v>
      </c>
      <c r="D73" s="1">
        <v>38760</v>
      </c>
      <c r="E73" s="1">
        <v>27310</v>
      </c>
      <c r="F73" s="6">
        <f t="shared" si="0"/>
        <v>476016111.31453675</v>
      </c>
      <c r="G73" s="6">
        <f t="shared" si="1"/>
        <v>335397316.82146543</v>
      </c>
      <c r="H73" s="6">
        <f t="shared" si="2"/>
        <v>476016111.31453675</v>
      </c>
      <c r="I73" s="6">
        <f t="shared" si="3"/>
        <v>7323324.7894544117</v>
      </c>
      <c r="J73" s="6">
        <f t="shared" si="4"/>
        <v>5159958.7203302374</v>
      </c>
      <c r="K73" s="6">
        <f t="shared" si="5"/>
        <v>7323324.7894544117</v>
      </c>
      <c r="L73" s="6">
        <f>$L$72</f>
        <v>514161934.89448315</v>
      </c>
      <c r="M73" s="6">
        <f t="shared" si="7"/>
        <v>7910183.6137612788</v>
      </c>
      <c r="N73" s="6"/>
      <c r="O73" s="10">
        <f t="shared" si="8"/>
        <v>429.14317981684633</v>
      </c>
      <c r="P73" s="10">
        <f t="shared" si="9"/>
        <v>6.6022027664130212</v>
      </c>
      <c r="Q73" s="10">
        <f t="shared" si="10"/>
        <v>514.16193489448312</v>
      </c>
      <c r="R73" s="10">
        <f t="shared" si="10"/>
        <v>7.9101836137612791</v>
      </c>
      <c r="S73" s="6"/>
    </row>
    <row r="74" spans="1:19" x14ac:dyDescent="0.25">
      <c r="A74">
        <v>66</v>
      </c>
      <c r="B74" s="1">
        <f t="shared" si="11"/>
        <v>6600000000</v>
      </c>
      <c r="C74" s="1">
        <v>33040</v>
      </c>
      <c r="D74" s="1">
        <v>32050</v>
      </c>
      <c r="E74" s="1">
        <v>34000</v>
      </c>
      <c r="F74" s="6">
        <f t="shared" ref="F74:F88" si="13">B74*2/C74*1000</f>
        <v>399515738.49878937</v>
      </c>
      <c r="G74" s="6">
        <f t="shared" ref="G74:G88" si="14">B74*2/D74*1000</f>
        <v>411856474.25897038</v>
      </c>
      <c r="H74" s="6">
        <f t="shared" ref="H74:H88" si="15">B74*2/E74*1000</f>
        <v>388235294.11764705</v>
      </c>
      <c r="I74" s="6">
        <f t="shared" ref="I74:I88" si="16">F74/A74</f>
        <v>6053268.7651331723</v>
      </c>
      <c r="J74" s="6">
        <f t="shared" ref="J74:J88" si="17">G74/A74</f>
        <v>6240249.6099843998</v>
      </c>
      <c r="K74" s="6">
        <f t="shared" ref="K74:K88" si="18">H74/A74</f>
        <v>5882352.9411764704</v>
      </c>
      <c r="L74" s="6">
        <f t="shared" ref="L74:L88" si="19">$L$72</f>
        <v>514161934.89448315</v>
      </c>
      <c r="M74" s="6">
        <f t="shared" si="7"/>
        <v>7790332.3468861086</v>
      </c>
      <c r="N74" s="6"/>
      <c r="O74" s="10">
        <f t="shared" ref="O74:O88" si="20">(F74+G74+H74)/3/1000000</f>
        <v>399.86916895846889</v>
      </c>
      <c r="P74" s="10">
        <f t="shared" ref="P74:P88" si="21">(I74+J74+K74)/3/1000000</f>
        <v>6.0586237720980147</v>
      </c>
      <c r="Q74" s="10">
        <f t="shared" ref="Q74:R88" si="22">L74/1000000</f>
        <v>514.16193489448312</v>
      </c>
      <c r="R74" s="10">
        <f t="shared" si="22"/>
        <v>7.7903323468861085</v>
      </c>
      <c r="S74" s="6"/>
    </row>
    <row r="75" spans="1:19" x14ac:dyDescent="0.25">
      <c r="A75">
        <v>67</v>
      </c>
      <c r="B75" s="1">
        <f t="shared" ref="B75:B88" si="23">$B$9*A75</f>
        <v>6700000000</v>
      </c>
      <c r="C75" s="1">
        <v>28680</v>
      </c>
      <c r="D75" s="1">
        <v>27410</v>
      </c>
      <c r="E75" s="1">
        <v>28080</v>
      </c>
      <c r="F75" s="6">
        <f t="shared" si="13"/>
        <v>467224546.72245467</v>
      </c>
      <c r="G75" s="6">
        <f t="shared" si="14"/>
        <v>488872674.20649403</v>
      </c>
      <c r="H75" s="6">
        <f t="shared" si="15"/>
        <v>477207977.20797724</v>
      </c>
      <c r="I75" s="6">
        <f t="shared" si="16"/>
        <v>6973500.6973500699</v>
      </c>
      <c r="J75" s="6">
        <f t="shared" si="17"/>
        <v>7296607.0777088664</v>
      </c>
      <c r="K75" s="6">
        <f t="shared" si="18"/>
        <v>7122507.1225071233</v>
      </c>
      <c r="L75" s="6">
        <f t="shared" si="19"/>
        <v>514161934.89448315</v>
      </c>
      <c r="M75" s="6">
        <f t="shared" ref="M75:M88" si="24">L75/A75</f>
        <v>7674058.7297684057</v>
      </c>
      <c r="N75" s="6"/>
      <c r="O75" s="10">
        <f t="shared" si="20"/>
        <v>477.76839937897535</v>
      </c>
      <c r="P75" s="10">
        <f t="shared" si="21"/>
        <v>7.1308716325220196</v>
      </c>
      <c r="Q75" s="10">
        <f t="shared" si="22"/>
        <v>514.16193489448312</v>
      </c>
      <c r="R75" s="10">
        <f t="shared" si="22"/>
        <v>7.6740587297684053</v>
      </c>
      <c r="S75" s="6"/>
    </row>
    <row r="76" spans="1:19" x14ac:dyDescent="0.25">
      <c r="A76">
        <v>68</v>
      </c>
      <c r="B76" s="1">
        <f t="shared" si="23"/>
        <v>6800000000</v>
      </c>
      <c r="C76" s="1">
        <v>35110</v>
      </c>
      <c r="D76" s="1">
        <v>34520</v>
      </c>
      <c r="E76" s="1">
        <v>39180</v>
      </c>
      <c r="F76" s="6">
        <f t="shared" si="13"/>
        <v>387354030.19082886</v>
      </c>
      <c r="G76" s="6">
        <f t="shared" si="14"/>
        <v>393974507.53186554</v>
      </c>
      <c r="H76" s="6">
        <f t="shared" si="15"/>
        <v>347115875.44665647</v>
      </c>
      <c r="I76" s="6">
        <f t="shared" si="16"/>
        <v>5696382.796923954</v>
      </c>
      <c r="J76" s="6">
        <f t="shared" si="17"/>
        <v>5793742.7578215525</v>
      </c>
      <c r="K76" s="6">
        <f t="shared" si="18"/>
        <v>5104645.2271567127</v>
      </c>
      <c r="L76" s="6">
        <f t="shared" si="19"/>
        <v>514161934.89448315</v>
      </c>
      <c r="M76" s="6">
        <f t="shared" si="24"/>
        <v>7561204.9249188695</v>
      </c>
      <c r="N76" s="6"/>
      <c r="O76" s="10">
        <f t="shared" si="20"/>
        <v>376.14813772311692</v>
      </c>
      <c r="P76" s="10">
        <f t="shared" si="21"/>
        <v>5.531590260634073</v>
      </c>
      <c r="Q76" s="10">
        <f t="shared" si="22"/>
        <v>514.16193489448312</v>
      </c>
      <c r="R76" s="10">
        <f t="shared" si="22"/>
        <v>7.5612049249188695</v>
      </c>
      <c r="S76" s="6"/>
    </row>
    <row r="77" spans="1:19" x14ac:dyDescent="0.25">
      <c r="A77">
        <v>69</v>
      </c>
      <c r="B77" s="1">
        <f t="shared" si="23"/>
        <v>6900000000</v>
      </c>
      <c r="C77" s="1">
        <v>34420</v>
      </c>
      <c r="D77" s="1">
        <v>27410</v>
      </c>
      <c r="E77" s="1">
        <v>34310</v>
      </c>
      <c r="F77" s="6">
        <f t="shared" si="13"/>
        <v>400929692.03951192</v>
      </c>
      <c r="G77" s="6">
        <f t="shared" si="14"/>
        <v>503465888.36191171</v>
      </c>
      <c r="H77" s="6">
        <f t="shared" si="15"/>
        <v>402215097.63917226</v>
      </c>
      <c r="I77" s="6">
        <f t="shared" si="16"/>
        <v>5810575.2469494483</v>
      </c>
      <c r="J77" s="6">
        <f t="shared" si="17"/>
        <v>7296607.0777088655</v>
      </c>
      <c r="K77" s="6">
        <f t="shared" si="18"/>
        <v>5829204.3136111917</v>
      </c>
      <c r="L77" s="6">
        <f t="shared" si="19"/>
        <v>514161934.89448315</v>
      </c>
      <c r="M77" s="6">
        <f t="shared" si="24"/>
        <v>7451622.2448475817</v>
      </c>
      <c r="N77" s="6"/>
      <c r="O77" s="10">
        <f t="shared" si="20"/>
        <v>435.53689268019866</v>
      </c>
      <c r="P77" s="10">
        <f t="shared" si="21"/>
        <v>6.3121288794231685</v>
      </c>
      <c r="Q77" s="10">
        <f t="shared" si="22"/>
        <v>514.16193489448312</v>
      </c>
      <c r="R77" s="10">
        <f t="shared" si="22"/>
        <v>7.4516222448475817</v>
      </c>
      <c r="S77" s="6"/>
    </row>
    <row r="78" spans="1:19" x14ac:dyDescent="0.25">
      <c r="A78">
        <v>70</v>
      </c>
      <c r="B78" s="1">
        <f t="shared" si="23"/>
        <v>7000000000</v>
      </c>
      <c r="C78" s="1">
        <v>34360</v>
      </c>
      <c r="D78" s="1">
        <v>29620</v>
      </c>
      <c r="E78" s="1">
        <v>38770</v>
      </c>
      <c r="F78" s="6">
        <f t="shared" si="13"/>
        <v>407450523.86495924</v>
      </c>
      <c r="G78" s="6">
        <f t="shared" si="14"/>
        <v>472653612.42403781</v>
      </c>
      <c r="H78" s="6">
        <f t="shared" si="15"/>
        <v>361103946.35027081</v>
      </c>
      <c r="I78" s="6">
        <f t="shared" si="16"/>
        <v>5820721.7694994174</v>
      </c>
      <c r="J78" s="6">
        <f t="shared" si="17"/>
        <v>6752194.4632005403</v>
      </c>
      <c r="K78" s="6">
        <f t="shared" si="18"/>
        <v>5158627.8050038684</v>
      </c>
      <c r="L78" s="6">
        <f t="shared" si="19"/>
        <v>514161934.89448315</v>
      </c>
      <c r="M78" s="6">
        <f t="shared" si="24"/>
        <v>7345170.4984926162</v>
      </c>
      <c r="N78" s="6"/>
      <c r="O78" s="10">
        <f t="shared" si="20"/>
        <v>413.73602754642263</v>
      </c>
      <c r="P78" s="10">
        <f t="shared" si="21"/>
        <v>5.910514679234609</v>
      </c>
      <c r="Q78" s="10">
        <f t="shared" si="22"/>
        <v>514.16193489448312</v>
      </c>
      <c r="R78" s="10">
        <f t="shared" si="22"/>
        <v>7.3451704984926165</v>
      </c>
      <c r="S78" s="6"/>
    </row>
    <row r="79" spans="1:19" x14ac:dyDescent="0.25">
      <c r="A79">
        <v>71</v>
      </c>
      <c r="B79" s="1">
        <f t="shared" si="23"/>
        <v>7100000000</v>
      </c>
      <c r="C79" s="1">
        <v>28730</v>
      </c>
      <c r="D79" s="1">
        <v>36150</v>
      </c>
      <c r="E79" s="1">
        <v>33230</v>
      </c>
      <c r="F79" s="6">
        <f t="shared" si="13"/>
        <v>494256874.34737211</v>
      </c>
      <c r="G79" s="6">
        <f t="shared" si="14"/>
        <v>392807745.50484091</v>
      </c>
      <c r="H79" s="6">
        <f t="shared" si="15"/>
        <v>427324706.59043032</v>
      </c>
      <c r="I79" s="6">
        <f t="shared" si="16"/>
        <v>6961364.4274277762</v>
      </c>
      <c r="J79" s="6">
        <f t="shared" si="17"/>
        <v>5532503.4578146609</v>
      </c>
      <c r="K79" s="6">
        <f t="shared" si="18"/>
        <v>6018657.8393018357</v>
      </c>
      <c r="L79" s="6">
        <f t="shared" si="19"/>
        <v>514161934.89448315</v>
      </c>
      <c r="M79" s="6">
        <f t="shared" si="24"/>
        <v>7241717.3928800439</v>
      </c>
      <c r="N79" s="6"/>
      <c r="O79" s="10">
        <f t="shared" si="20"/>
        <v>438.12977548088116</v>
      </c>
      <c r="P79" s="10">
        <f t="shared" si="21"/>
        <v>6.1708419081814245</v>
      </c>
      <c r="Q79" s="10">
        <f t="shared" si="22"/>
        <v>514.16193489448312</v>
      </c>
      <c r="R79" s="10">
        <f t="shared" si="22"/>
        <v>7.2417173928800436</v>
      </c>
      <c r="S79" s="6"/>
    </row>
    <row r="80" spans="1:19" x14ac:dyDescent="0.25">
      <c r="A80">
        <v>72</v>
      </c>
      <c r="B80" s="1">
        <f t="shared" si="23"/>
        <v>7200000000</v>
      </c>
      <c r="C80" s="1">
        <v>30410</v>
      </c>
      <c r="D80" s="1">
        <v>41790</v>
      </c>
      <c r="E80" s="1">
        <v>41640</v>
      </c>
      <c r="F80" s="6">
        <f t="shared" si="13"/>
        <v>473528444.59059519</v>
      </c>
      <c r="G80" s="6">
        <f t="shared" si="14"/>
        <v>344580043.07250541</v>
      </c>
      <c r="H80" s="6">
        <f t="shared" si="15"/>
        <v>345821325.64841497</v>
      </c>
      <c r="I80" s="6">
        <f t="shared" si="16"/>
        <v>6576783.9526471552</v>
      </c>
      <c r="J80" s="6">
        <f t="shared" si="17"/>
        <v>4785833.9315625755</v>
      </c>
      <c r="K80" s="6">
        <f t="shared" si="18"/>
        <v>4803073.9673390966</v>
      </c>
      <c r="L80" s="6">
        <f t="shared" si="19"/>
        <v>514161934.89448315</v>
      </c>
      <c r="M80" s="6">
        <f t="shared" si="24"/>
        <v>7141137.9846455995</v>
      </c>
      <c r="N80" s="6"/>
      <c r="O80" s="10">
        <f t="shared" si="20"/>
        <v>387.97660443717189</v>
      </c>
      <c r="P80" s="10">
        <f t="shared" si="21"/>
        <v>5.388563950516275</v>
      </c>
      <c r="Q80" s="10">
        <f t="shared" si="22"/>
        <v>514.16193489448312</v>
      </c>
      <c r="R80" s="10">
        <f t="shared" si="22"/>
        <v>7.1411379846455993</v>
      </c>
      <c r="S80" s="6"/>
    </row>
    <row r="81" spans="1:19" x14ac:dyDescent="0.25">
      <c r="A81">
        <v>73</v>
      </c>
      <c r="B81" s="1">
        <f t="shared" si="23"/>
        <v>7300000000</v>
      </c>
      <c r="C81" s="1">
        <v>35930</v>
      </c>
      <c r="D81" s="1">
        <v>36960</v>
      </c>
      <c r="E81" s="1">
        <v>34630</v>
      </c>
      <c r="F81" s="6">
        <f t="shared" si="13"/>
        <v>406345672.14027274</v>
      </c>
      <c r="G81" s="6">
        <f t="shared" si="14"/>
        <v>395021645.02164501</v>
      </c>
      <c r="H81" s="6">
        <f t="shared" si="15"/>
        <v>421599768.9864279</v>
      </c>
      <c r="I81" s="6">
        <f t="shared" si="16"/>
        <v>5566379.070414695</v>
      </c>
      <c r="J81" s="6">
        <f t="shared" si="17"/>
        <v>5411255.4112554109</v>
      </c>
      <c r="K81" s="6">
        <f t="shared" si="18"/>
        <v>5775339.3011839436</v>
      </c>
      <c r="L81" s="6">
        <f t="shared" si="19"/>
        <v>514161934.89448315</v>
      </c>
      <c r="M81" s="6">
        <f t="shared" si="24"/>
        <v>7043314.1766367555</v>
      </c>
      <c r="N81" s="6"/>
      <c r="O81" s="10">
        <f t="shared" si="20"/>
        <v>407.6556953827818</v>
      </c>
      <c r="P81" s="10">
        <f t="shared" si="21"/>
        <v>5.5843245942846833</v>
      </c>
      <c r="Q81" s="10">
        <f t="shared" si="22"/>
        <v>514.16193489448312</v>
      </c>
      <c r="R81" s="10">
        <f t="shared" si="22"/>
        <v>7.0433141766367555</v>
      </c>
      <c r="S81" s="6"/>
    </row>
    <row r="82" spans="1:19" x14ac:dyDescent="0.25">
      <c r="A82">
        <v>74</v>
      </c>
      <c r="B82" s="1">
        <f t="shared" si="23"/>
        <v>7400000000</v>
      </c>
      <c r="C82" s="1">
        <v>38140</v>
      </c>
      <c r="D82" s="1">
        <v>29710</v>
      </c>
      <c r="E82" s="1">
        <v>30800</v>
      </c>
      <c r="F82" s="6">
        <f t="shared" si="13"/>
        <v>388044048.24331409</v>
      </c>
      <c r="G82" s="6">
        <f t="shared" si="14"/>
        <v>498148771.45742178</v>
      </c>
      <c r="H82" s="6">
        <f t="shared" si="15"/>
        <v>480519480.51948053</v>
      </c>
      <c r="I82" s="6">
        <f t="shared" si="16"/>
        <v>5243838.4897745149</v>
      </c>
      <c r="J82" s="6">
        <f t="shared" si="17"/>
        <v>6731740.1548300236</v>
      </c>
      <c r="K82" s="6">
        <f t="shared" si="18"/>
        <v>6493506.493506494</v>
      </c>
      <c r="L82" s="6">
        <f t="shared" si="19"/>
        <v>514161934.89448315</v>
      </c>
      <c r="M82" s="6">
        <f t="shared" si="24"/>
        <v>6948134.2553308532</v>
      </c>
      <c r="N82" s="6"/>
      <c r="O82" s="10">
        <f t="shared" si="20"/>
        <v>455.57076674007209</v>
      </c>
      <c r="P82" s="10">
        <f t="shared" si="21"/>
        <v>6.1563617127036778</v>
      </c>
      <c r="Q82" s="10">
        <f t="shared" si="22"/>
        <v>514.16193489448312</v>
      </c>
      <c r="R82" s="10">
        <f t="shared" si="22"/>
        <v>6.9481342553308529</v>
      </c>
      <c r="S82" s="6"/>
    </row>
    <row r="83" spans="1:19" x14ac:dyDescent="0.25">
      <c r="A83">
        <v>75</v>
      </c>
      <c r="B83" s="1">
        <f t="shared" si="23"/>
        <v>7500000000</v>
      </c>
      <c r="C83" s="1">
        <v>43810</v>
      </c>
      <c r="D83" s="1">
        <v>31230</v>
      </c>
      <c r="E83" s="1">
        <v>30180</v>
      </c>
      <c r="F83" s="6">
        <f t="shared" si="13"/>
        <v>342387582.74366581</v>
      </c>
      <c r="G83" s="6">
        <f t="shared" si="14"/>
        <v>480307396.73390973</v>
      </c>
      <c r="H83" s="6">
        <f t="shared" si="15"/>
        <v>497017892.64413518</v>
      </c>
      <c r="I83" s="6">
        <f t="shared" si="16"/>
        <v>4565167.7699155444</v>
      </c>
      <c r="J83" s="6">
        <f t="shared" si="17"/>
        <v>6404098.6231187964</v>
      </c>
      <c r="K83" s="6">
        <f t="shared" si="18"/>
        <v>6626905.2352551362</v>
      </c>
      <c r="L83" s="6">
        <f t="shared" si="19"/>
        <v>514161934.89448315</v>
      </c>
      <c r="M83" s="6">
        <f t="shared" si="24"/>
        <v>6855492.4652597755</v>
      </c>
      <c r="N83" s="6"/>
      <c r="O83" s="10">
        <f t="shared" si="20"/>
        <v>439.90429070723695</v>
      </c>
      <c r="P83" s="10">
        <f t="shared" si="21"/>
        <v>5.8653905427631585</v>
      </c>
      <c r="Q83" s="10">
        <f t="shared" si="22"/>
        <v>514.16193489448312</v>
      </c>
      <c r="R83" s="10">
        <f t="shared" si="22"/>
        <v>6.8554924652597755</v>
      </c>
      <c r="S83" s="6"/>
    </row>
    <row r="84" spans="1:19" x14ac:dyDescent="0.25">
      <c r="A84">
        <v>76</v>
      </c>
      <c r="B84" s="1">
        <f t="shared" si="23"/>
        <v>7600000000</v>
      </c>
      <c r="C84" s="1">
        <v>38580</v>
      </c>
      <c r="D84" s="1">
        <v>39290</v>
      </c>
      <c r="E84" s="1">
        <v>39490</v>
      </c>
      <c r="F84" s="6">
        <f t="shared" si="13"/>
        <v>393986521.51373768</v>
      </c>
      <c r="G84" s="6">
        <f t="shared" si="14"/>
        <v>386866887.24866378</v>
      </c>
      <c r="H84" s="6">
        <f t="shared" si="15"/>
        <v>384907571.53709799</v>
      </c>
      <c r="I84" s="6">
        <f t="shared" si="16"/>
        <v>5184033.1778123379</v>
      </c>
      <c r="J84" s="6">
        <f t="shared" si="17"/>
        <v>5090353.7795876814</v>
      </c>
      <c r="K84" s="6">
        <f t="shared" si="18"/>
        <v>5064573.3096986581</v>
      </c>
      <c r="L84" s="6">
        <f t="shared" si="19"/>
        <v>514161934.89448315</v>
      </c>
      <c r="M84" s="6">
        <f t="shared" si="24"/>
        <v>6765288.6170326732</v>
      </c>
      <c r="N84" s="6"/>
      <c r="O84" s="10">
        <f t="shared" si="20"/>
        <v>388.58699343316653</v>
      </c>
      <c r="P84" s="10">
        <f t="shared" si="21"/>
        <v>5.1129867556995592</v>
      </c>
      <c r="Q84" s="10">
        <f t="shared" si="22"/>
        <v>514.16193489448312</v>
      </c>
      <c r="R84" s="10">
        <f t="shared" si="22"/>
        <v>6.7652886170326729</v>
      </c>
      <c r="S84" s="6"/>
    </row>
    <row r="85" spans="1:19" x14ac:dyDescent="0.25">
      <c r="A85">
        <v>77</v>
      </c>
      <c r="B85" s="1">
        <f t="shared" si="23"/>
        <v>7700000000</v>
      </c>
      <c r="C85" s="1">
        <v>45050</v>
      </c>
      <c r="D85" s="1">
        <v>33020</v>
      </c>
      <c r="E85" s="1">
        <v>31870</v>
      </c>
      <c r="F85" s="6">
        <f t="shared" si="13"/>
        <v>341842397.33629298</v>
      </c>
      <c r="G85" s="6">
        <f t="shared" si="14"/>
        <v>466384009.69109631</v>
      </c>
      <c r="H85" s="6">
        <f t="shared" si="15"/>
        <v>483213053.02792597</v>
      </c>
      <c r="I85" s="6">
        <f t="shared" si="16"/>
        <v>4439511.6537180906</v>
      </c>
      <c r="J85" s="6">
        <f t="shared" si="17"/>
        <v>6056935.1907934584</v>
      </c>
      <c r="K85" s="6">
        <f t="shared" si="18"/>
        <v>6275494.1951678693</v>
      </c>
      <c r="L85" s="6">
        <f t="shared" si="19"/>
        <v>514161934.89448315</v>
      </c>
      <c r="M85" s="6">
        <f t="shared" si="24"/>
        <v>6677427.7259023786</v>
      </c>
      <c r="N85" s="6"/>
      <c r="O85" s="10">
        <f t="shared" si="20"/>
        <v>430.47982001843837</v>
      </c>
      <c r="P85" s="10">
        <f t="shared" si="21"/>
        <v>5.590647013226473</v>
      </c>
      <c r="Q85" s="10">
        <f t="shared" si="22"/>
        <v>514.16193489448312</v>
      </c>
      <c r="R85" s="10">
        <f t="shared" si="22"/>
        <v>6.6774277259023789</v>
      </c>
      <c r="S85" s="6"/>
    </row>
    <row r="86" spans="1:19" x14ac:dyDescent="0.25">
      <c r="A86">
        <v>78</v>
      </c>
      <c r="B86" s="1">
        <f t="shared" si="23"/>
        <v>7800000000</v>
      </c>
      <c r="C86" s="1">
        <v>64560</v>
      </c>
      <c r="D86" s="1">
        <v>45060</v>
      </c>
      <c r="E86" s="1">
        <v>32840</v>
      </c>
      <c r="F86" s="6">
        <f t="shared" si="13"/>
        <v>241635687.732342</v>
      </c>
      <c r="G86" s="6">
        <f t="shared" si="14"/>
        <v>346205059.92010653</v>
      </c>
      <c r="H86" s="6">
        <f t="shared" si="15"/>
        <v>475030450.66991472</v>
      </c>
      <c r="I86" s="6">
        <f t="shared" si="16"/>
        <v>3097893.432465923</v>
      </c>
      <c r="J86" s="6">
        <f t="shared" si="17"/>
        <v>4438526.4092321349</v>
      </c>
      <c r="K86" s="6">
        <f t="shared" si="18"/>
        <v>6090133.9829476243</v>
      </c>
      <c r="L86" s="6">
        <f t="shared" si="19"/>
        <v>514161934.89448315</v>
      </c>
      <c r="M86" s="6">
        <f t="shared" si="24"/>
        <v>6591819.6781343995</v>
      </c>
      <c r="N86" s="6"/>
      <c r="O86" s="10">
        <f t="shared" si="20"/>
        <v>354.29039944078772</v>
      </c>
      <c r="P86" s="10">
        <f t="shared" si="21"/>
        <v>4.5421846082152273</v>
      </c>
      <c r="Q86" s="10">
        <f t="shared" si="22"/>
        <v>514.16193489448312</v>
      </c>
      <c r="R86" s="10">
        <f t="shared" si="22"/>
        <v>6.5918196781343994</v>
      </c>
      <c r="S86" s="6"/>
    </row>
    <row r="87" spans="1:19" x14ac:dyDescent="0.25">
      <c r="A87">
        <v>79</v>
      </c>
      <c r="B87" s="1">
        <f t="shared" si="23"/>
        <v>7900000000</v>
      </c>
      <c r="C87" s="1">
        <v>39370</v>
      </c>
      <c r="D87" s="1">
        <v>33420</v>
      </c>
      <c r="E87" s="1">
        <v>40780</v>
      </c>
      <c r="F87" s="6">
        <f t="shared" si="13"/>
        <v>401320802.64160526</v>
      </c>
      <c r="G87" s="6">
        <f t="shared" si="14"/>
        <v>472770795.9305805</v>
      </c>
      <c r="H87" s="6">
        <f t="shared" si="15"/>
        <v>387444825.89504659</v>
      </c>
      <c r="I87" s="6">
        <f t="shared" si="16"/>
        <v>5080010.1600203197</v>
      </c>
      <c r="J87" s="6">
        <f t="shared" si="17"/>
        <v>5984440.4548174748</v>
      </c>
      <c r="K87" s="6">
        <f t="shared" si="18"/>
        <v>4904364.8847474251</v>
      </c>
      <c r="L87" s="6">
        <f t="shared" si="19"/>
        <v>514161934.89448315</v>
      </c>
      <c r="M87" s="6">
        <f t="shared" si="24"/>
        <v>6508378.9227149766</v>
      </c>
      <c r="N87" s="6"/>
      <c r="O87" s="10">
        <f t="shared" si="20"/>
        <v>420.51214148907741</v>
      </c>
      <c r="P87" s="10">
        <f t="shared" si="21"/>
        <v>5.3229384998617402</v>
      </c>
      <c r="Q87" s="10">
        <f t="shared" si="22"/>
        <v>514.16193489448312</v>
      </c>
      <c r="R87" s="10">
        <f t="shared" si="22"/>
        <v>6.5083789227149769</v>
      </c>
      <c r="S87" s="6"/>
    </row>
    <row r="88" spans="1:19" x14ac:dyDescent="0.25">
      <c r="A88">
        <v>80</v>
      </c>
      <c r="B88" s="1">
        <f t="shared" si="23"/>
        <v>8000000000</v>
      </c>
      <c r="C88" s="1">
        <v>31860</v>
      </c>
      <c r="D88" s="1">
        <v>45530</v>
      </c>
      <c r="E88" s="1">
        <v>32550</v>
      </c>
      <c r="F88" s="6">
        <f t="shared" si="13"/>
        <v>502197112.36660391</v>
      </c>
      <c r="G88" s="6">
        <f t="shared" si="14"/>
        <v>351416648.36371624</v>
      </c>
      <c r="H88" s="6">
        <f t="shared" si="15"/>
        <v>491551459.29339474</v>
      </c>
      <c r="I88" s="6">
        <f t="shared" si="16"/>
        <v>6277463.9045825489</v>
      </c>
      <c r="J88" s="6">
        <f t="shared" si="17"/>
        <v>4392708.1045464529</v>
      </c>
      <c r="K88" s="6">
        <f t="shared" si="18"/>
        <v>6144393.2411674345</v>
      </c>
      <c r="L88" s="6">
        <f t="shared" si="19"/>
        <v>514161934.89448315</v>
      </c>
      <c r="M88" s="6">
        <f t="shared" si="24"/>
        <v>6427024.1861810395</v>
      </c>
      <c r="N88" s="6"/>
      <c r="O88" s="10">
        <f t="shared" si="20"/>
        <v>448.38840667457168</v>
      </c>
      <c r="P88" s="10">
        <f t="shared" si="21"/>
        <v>5.6048550834321453</v>
      </c>
      <c r="Q88" s="10">
        <f t="shared" si="22"/>
        <v>514.16193489448312</v>
      </c>
      <c r="R88" s="10">
        <f t="shared" si="22"/>
        <v>6.4270241861810398</v>
      </c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92AC-E2DD-44E1-9310-E34A88A1CA8B}">
  <dimension ref="A1:U88"/>
  <sheetViews>
    <sheetView topLeftCell="J1" zoomScaleNormal="100" workbookViewId="0">
      <selection activeCell="A5" sqref="A5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16150</v>
      </c>
      <c r="D9" s="1">
        <v>16350</v>
      </c>
      <c r="E9" s="1">
        <v>16520</v>
      </c>
      <c r="F9" s="6">
        <f>B9*2/C9*1000</f>
        <v>12383900.92879257</v>
      </c>
      <c r="G9" s="6">
        <f>B9*2/D9*1000</f>
        <v>12232415.902140671</v>
      </c>
      <c r="H9" s="6">
        <f>B9*2/E9*1000</f>
        <v>12106537.530266343</v>
      </c>
      <c r="I9" s="6">
        <f>F9/A9</f>
        <v>12383900.92879257</v>
      </c>
      <c r="J9" s="6">
        <f>G9/A9</f>
        <v>12232415.902140671</v>
      </c>
      <c r="K9" s="6">
        <f>H9/A9</f>
        <v>12106537.530266343</v>
      </c>
      <c r="L9" s="6">
        <f>(F9+G9+H9)/3</f>
        <v>12240951.453733196</v>
      </c>
      <c r="M9" s="6">
        <f>L9/A9</f>
        <v>12240951.453733196</v>
      </c>
      <c r="N9" s="6"/>
      <c r="O9" s="10">
        <f>(F9+G9+H9)/3/1000000</f>
        <v>12.240951453733196</v>
      </c>
      <c r="P9" s="10">
        <f>(I9+J9+K9)/3/1000000</f>
        <v>12.240951453733196</v>
      </c>
      <c r="Q9" s="10">
        <f>L9/1000000</f>
        <v>12.240951453733196</v>
      </c>
      <c r="R9" s="10">
        <f>M9/1000000</f>
        <v>12.240951453733196</v>
      </c>
      <c r="S9" s="6"/>
    </row>
    <row r="10" spans="1:19" x14ac:dyDescent="0.25">
      <c r="A10">
        <v>2</v>
      </c>
      <c r="B10" s="1">
        <f>$B$9*A10</f>
        <v>200000000</v>
      </c>
      <c r="C10" s="1">
        <v>16760</v>
      </c>
      <c r="D10" s="1">
        <v>16730</v>
      </c>
      <c r="E10" s="1">
        <v>16760</v>
      </c>
      <c r="F10" s="6">
        <f t="shared" ref="F10:F73" si="0">B10*2/C10*1000</f>
        <v>23866348.448687349</v>
      </c>
      <c r="G10" s="6">
        <f t="shared" ref="G10:G73" si="1">B10*2/D10*1000</f>
        <v>23909145.248057384</v>
      </c>
      <c r="H10" s="6">
        <f t="shared" ref="H10:H73" si="2">B10*2/E10*1000</f>
        <v>23866348.448687349</v>
      </c>
      <c r="I10" s="6">
        <f t="shared" ref="I10:I73" si="3">F10/A10</f>
        <v>11933174.224343674</v>
      </c>
      <c r="J10" s="6">
        <f t="shared" ref="J10:J73" si="4">G10/A10</f>
        <v>11954572.624028692</v>
      </c>
      <c r="K10" s="6">
        <f t="shared" ref="K10:K73" si="5">H10/A10</f>
        <v>11933174.224343674</v>
      </c>
      <c r="L10" s="6">
        <f t="shared" ref="L10:L40" si="6">$L$9*A10</f>
        <v>24481902.907466393</v>
      </c>
      <c r="M10" s="6">
        <f t="shared" ref="M10:M74" si="7">L10/A10</f>
        <v>12240951.453733196</v>
      </c>
      <c r="N10" s="6"/>
      <c r="O10" s="10">
        <f t="shared" ref="O10:O73" si="8">(F10+G10+H10)/3/1000000</f>
        <v>23.880614048477362</v>
      </c>
      <c r="P10" s="10">
        <f t="shared" ref="P10:P73" si="9">(I10+J10+K10)/3/1000000</f>
        <v>11.940307024238681</v>
      </c>
      <c r="Q10" s="10">
        <f t="shared" ref="Q10:R73" si="10">L10/1000000</f>
        <v>24.481902907466392</v>
      </c>
      <c r="R10" s="10">
        <f t="shared" si="10"/>
        <v>12.240951453733196</v>
      </c>
      <c r="S10" s="6"/>
    </row>
    <row r="11" spans="1:19" x14ac:dyDescent="0.25">
      <c r="A11">
        <v>3</v>
      </c>
      <c r="B11" s="1">
        <f t="shared" ref="B11:B74" si="11">$B$9*A11</f>
        <v>300000000</v>
      </c>
      <c r="C11" s="1">
        <v>16830</v>
      </c>
      <c r="D11" s="1">
        <v>16450</v>
      </c>
      <c r="E11" s="1">
        <v>16500</v>
      </c>
      <c r="F11" s="6">
        <f t="shared" si="0"/>
        <v>35650623.885917999</v>
      </c>
      <c r="G11" s="6">
        <f t="shared" si="1"/>
        <v>36474164.1337386</v>
      </c>
      <c r="H11" s="6">
        <f t="shared" si="2"/>
        <v>36363636.36363636</v>
      </c>
      <c r="I11" s="6">
        <f t="shared" si="3"/>
        <v>11883541.295305999</v>
      </c>
      <c r="J11" s="6">
        <f t="shared" si="4"/>
        <v>12158054.7112462</v>
      </c>
      <c r="K11" s="6">
        <f t="shared" si="5"/>
        <v>12121212.121212119</v>
      </c>
      <c r="L11" s="6">
        <f t="shared" si="6"/>
        <v>36722854.361199588</v>
      </c>
      <c r="M11" s="6">
        <f t="shared" si="7"/>
        <v>12240951.453733196</v>
      </c>
      <c r="N11" s="6"/>
      <c r="O11" s="10">
        <f t="shared" si="8"/>
        <v>36.162808127764322</v>
      </c>
      <c r="P11" s="10">
        <f t="shared" si="9"/>
        <v>12.054269375921438</v>
      </c>
      <c r="Q11" s="10">
        <f t="shared" si="10"/>
        <v>36.722854361199587</v>
      </c>
      <c r="R11" s="10">
        <f t="shared" si="10"/>
        <v>12.240951453733196</v>
      </c>
      <c r="S11" s="6"/>
    </row>
    <row r="12" spans="1:19" x14ac:dyDescent="0.25">
      <c r="A12">
        <v>4</v>
      </c>
      <c r="B12" s="1">
        <f t="shared" si="11"/>
        <v>400000000</v>
      </c>
      <c r="C12" s="1">
        <v>16730</v>
      </c>
      <c r="D12" s="1">
        <v>16970</v>
      </c>
      <c r="E12" s="1">
        <v>17100</v>
      </c>
      <c r="F12" s="6">
        <f t="shared" si="0"/>
        <v>47818290.496114768</v>
      </c>
      <c r="G12" s="6">
        <f t="shared" si="1"/>
        <v>47142015.321154974</v>
      </c>
      <c r="H12" s="6">
        <f t="shared" si="2"/>
        <v>46783625.73099415</v>
      </c>
      <c r="I12" s="6">
        <f t="shared" si="3"/>
        <v>11954572.624028692</v>
      </c>
      <c r="J12" s="6">
        <f t="shared" si="4"/>
        <v>11785503.830288744</v>
      </c>
      <c r="K12" s="6">
        <f t="shared" si="5"/>
        <v>11695906.432748538</v>
      </c>
      <c r="L12" s="6">
        <f t="shared" si="6"/>
        <v>48963805.814932786</v>
      </c>
      <c r="M12" s="6">
        <f t="shared" si="7"/>
        <v>12240951.453733196</v>
      </c>
      <c r="N12" s="6"/>
      <c r="O12" s="10">
        <f t="shared" si="8"/>
        <v>47.247977182754639</v>
      </c>
      <c r="P12" s="10">
        <f t="shared" si="9"/>
        <v>11.81199429568866</v>
      </c>
      <c r="Q12" s="10">
        <f t="shared" si="10"/>
        <v>48.963805814932783</v>
      </c>
      <c r="R12" s="10">
        <f t="shared" si="10"/>
        <v>12.240951453733196</v>
      </c>
      <c r="S12" s="6"/>
    </row>
    <row r="13" spans="1:19" x14ac:dyDescent="0.25">
      <c r="A13">
        <v>5</v>
      </c>
      <c r="B13" s="1">
        <f t="shared" si="11"/>
        <v>500000000</v>
      </c>
      <c r="C13" s="1">
        <v>16770</v>
      </c>
      <c r="D13" s="1">
        <v>16770</v>
      </c>
      <c r="E13" s="1">
        <v>16810</v>
      </c>
      <c r="F13" s="6">
        <f t="shared" si="0"/>
        <v>59630292.188431725</v>
      </c>
      <c r="G13" s="6">
        <f t="shared" si="1"/>
        <v>59630292.188431725</v>
      </c>
      <c r="H13" s="6">
        <f t="shared" si="2"/>
        <v>59488399.762046397</v>
      </c>
      <c r="I13" s="6">
        <f t="shared" si="3"/>
        <v>11926058.437686345</v>
      </c>
      <c r="J13" s="6">
        <f t="shared" si="4"/>
        <v>11926058.437686345</v>
      </c>
      <c r="K13" s="6">
        <f t="shared" si="5"/>
        <v>11897679.952409279</v>
      </c>
      <c r="L13" s="6">
        <f t="shared" si="6"/>
        <v>61204757.268665984</v>
      </c>
      <c r="M13" s="6">
        <f t="shared" si="7"/>
        <v>12240951.453733196</v>
      </c>
      <c r="N13" s="6"/>
      <c r="O13" s="10">
        <f t="shared" si="8"/>
        <v>59.582994712969949</v>
      </c>
      <c r="P13" s="10">
        <f t="shared" si="9"/>
        <v>11.916598942593989</v>
      </c>
      <c r="Q13" s="10">
        <f t="shared" si="10"/>
        <v>61.204757268665986</v>
      </c>
      <c r="R13" s="10">
        <f t="shared" si="10"/>
        <v>12.240951453733196</v>
      </c>
      <c r="S13" s="6"/>
    </row>
    <row r="14" spans="1:19" x14ac:dyDescent="0.25">
      <c r="A14">
        <v>6</v>
      </c>
      <c r="B14" s="1">
        <f t="shared" si="11"/>
        <v>600000000</v>
      </c>
      <c r="C14" s="1">
        <v>16660</v>
      </c>
      <c r="D14" s="1">
        <v>16670</v>
      </c>
      <c r="E14" s="1">
        <v>16800</v>
      </c>
      <c r="F14" s="6">
        <f t="shared" si="0"/>
        <v>72028811.524609849</v>
      </c>
      <c r="G14" s="6">
        <f t="shared" si="1"/>
        <v>71985602.87942411</v>
      </c>
      <c r="H14" s="6">
        <f t="shared" si="2"/>
        <v>71428571.428571433</v>
      </c>
      <c r="I14" s="6">
        <f t="shared" si="3"/>
        <v>12004801.920768308</v>
      </c>
      <c r="J14" s="6">
        <f t="shared" si="4"/>
        <v>11997600.479904018</v>
      </c>
      <c r="K14" s="6">
        <f t="shared" si="5"/>
        <v>11904761.904761905</v>
      </c>
      <c r="L14" s="6">
        <f t="shared" si="6"/>
        <v>73445708.722399175</v>
      </c>
      <c r="M14" s="6">
        <f t="shared" si="7"/>
        <v>12240951.453733196</v>
      </c>
      <c r="N14" s="6"/>
      <c r="O14" s="10">
        <f t="shared" si="8"/>
        <v>71.814328610868472</v>
      </c>
      <c r="P14" s="10">
        <f t="shared" si="9"/>
        <v>11.969054768478076</v>
      </c>
      <c r="Q14" s="10">
        <f t="shared" si="10"/>
        <v>73.445708722399175</v>
      </c>
      <c r="R14" s="10">
        <f t="shared" si="10"/>
        <v>12.240951453733196</v>
      </c>
      <c r="S14" s="6"/>
    </row>
    <row r="15" spans="1:19" x14ac:dyDescent="0.25">
      <c r="A15">
        <v>7</v>
      </c>
      <c r="B15" s="1">
        <f t="shared" si="11"/>
        <v>700000000</v>
      </c>
      <c r="C15" s="1">
        <v>16630</v>
      </c>
      <c r="D15" s="1">
        <v>16550</v>
      </c>
      <c r="E15" s="1">
        <v>16600</v>
      </c>
      <c r="F15" s="6">
        <f t="shared" si="0"/>
        <v>84185207.45640409</v>
      </c>
      <c r="G15" s="6">
        <f t="shared" si="1"/>
        <v>84592145.015105739</v>
      </c>
      <c r="H15" s="6">
        <f t="shared" si="2"/>
        <v>84337349.397590354</v>
      </c>
      <c r="I15" s="6">
        <f t="shared" si="3"/>
        <v>12026458.208057728</v>
      </c>
      <c r="J15" s="6">
        <f t="shared" si="4"/>
        <v>12084592.145015106</v>
      </c>
      <c r="K15" s="6">
        <f t="shared" si="5"/>
        <v>12048192.771084337</v>
      </c>
      <c r="L15" s="6">
        <f t="shared" si="6"/>
        <v>85686660.176132381</v>
      </c>
      <c r="M15" s="6">
        <f t="shared" si="7"/>
        <v>12240951.453733196</v>
      </c>
      <c r="N15" s="6"/>
      <c r="O15" s="10">
        <f t="shared" si="8"/>
        <v>84.371567289700053</v>
      </c>
      <c r="P15" s="10">
        <f t="shared" si="9"/>
        <v>12.053081041385724</v>
      </c>
      <c r="Q15" s="10">
        <f t="shared" si="10"/>
        <v>85.686660176132378</v>
      </c>
      <c r="R15" s="10">
        <f t="shared" si="10"/>
        <v>12.240951453733196</v>
      </c>
      <c r="S15" s="6"/>
    </row>
    <row r="16" spans="1:19" x14ac:dyDescent="0.25">
      <c r="A16">
        <v>8</v>
      </c>
      <c r="B16" s="1">
        <f t="shared" si="11"/>
        <v>800000000</v>
      </c>
      <c r="C16" s="1">
        <v>16680</v>
      </c>
      <c r="D16" s="1">
        <v>16730</v>
      </c>
      <c r="E16" s="1">
        <v>16690</v>
      </c>
      <c r="F16" s="6">
        <f t="shared" si="0"/>
        <v>95923261.39088729</v>
      </c>
      <c r="G16" s="6">
        <f t="shared" si="1"/>
        <v>95636580.992229536</v>
      </c>
      <c r="H16" s="6">
        <f t="shared" si="2"/>
        <v>95865787.896944284</v>
      </c>
      <c r="I16" s="6">
        <f t="shared" si="3"/>
        <v>11990407.673860911</v>
      </c>
      <c r="J16" s="6">
        <f t="shared" si="4"/>
        <v>11954572.624028692</v>
      </c>
      <c r="K16" s="6">
        <f t="shared" si="5"/>
        <v>11983223.487118036</v>
      </c>
      <c r="L16" s="6">
        <f t="shared" si="6"/>
        <v>97927611.629865572</v>
      </c>
      <c r="M16" s="6">
        <f t="shared" si="7"/>
        <v>12240951.453733196</v>
      </c>
      <c r="N16" s="6"/>
      <c r="O16" s="10">
        <f t="shared" si="8"/>
        <v>95.808543426687052</v>
      </c>
      <c r="P16" s="10">
        <f t="shared" si="9"/>
        <v>11.976067928335882</v>
      </c>
      <c r="Q16" s="10">
        <f t="shared" si="10"/>
        <v>97.927611629865567</v>
      </c>
      <c r="R16" s="10">
        <f t="shared" si="10"/>
        <v>12.240951453733196</v>
      </c>
      <c r="S16" s="6"/>
    </row>
    <row r="17" spans="1:19" x14ac:dyDescent="0.25">
      <c r="A17">
        <v>9</v>
      </c>
      <c r="B17" s="1">
        <f t="shared" si="11"/>
        <v>900000000</v>
      </c>
      <c r="C17" s="1">
        <v>16650</v>
      </c>
      <c r="D17" s="1">
        <v>16860</v>
      </c>
      <c r="E17" s="1">
        <v>16670</v>
      </c>
      <c r="F17" s="6">
        <f t="shared" si="0"/>
        <v>108108108.1081081</v>
      </c>
      <c r="G17" s="6">
        <f t="shared" si="1"/>
        <v>106761565.83629893</v>
      </c>
      <c r="H17" s="6">
        <f t="shared" si="2"/>
        <v>107978404.31913617</v>
      </c>
      <c r="I17" s="6">
        <f t="shared" si="3"/>
        <v>12012012.012012012</v>
      </c>
      <c r="J17" s="6">
        <f t="shared" si="4"/>
        <v>11862396.204033215</v>
      </c>
      <c r="K17" s="6">
        <f t="shared" si="5"/>
        <v>11997600.479904018</v>
      </c>
      <c r="L17" s="6">
        <f t="shared" si="6"/>
        <v>110168563.08359876</v>
      </c>
      <c r="M17" s="6">
        <f t="shared" si="7"/>
        <v>12240951.453733196</v>
      </c>
      <c r="N17" s="6"/>
      <c r="O17" s="10">
        <f t="shared" si="8"/>
        <v>107.61602608784776</v>
      </c>
      <c r="P17" s="10">
        <f t="shared" si="9"/>
        <v>11.957336231983081</v>
      </c>
      <c r="Q17" s="10">
        <f t="shared" si="10"/>
        <v>110.16856308359877</v>
      </c>
      <c r="R17" s="10">
        <f t="shared" si="10"/>
        <v>12.240951453733196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16830</v>
      </c>
      <c r="D18" s="1">
        <v>16940</v>
      </c>
      <c r="E18" s="1">
        <v>16740</v>
      </c>
      <c r="F18" s="6">
        <f t="shared" si="0"/>
        <v>118835412.95306002</v>
      </c>
      <c r="G18" s="6">
        <f t="shared" si="1"/>
        <v>118063754.42739078</v>
      </c>
      <c r="H18" s="6">
        <f t="shared" si="2"/>
        <v>119474313.02270013</v>
      </c>
      <c r="I18" s="6">
        <f t="shared" si="3"/>
        <v>11883541.295306001</v>
      </c>
      <c r="J18" s="6">
        <f t="shared" si="4"/>
        <v>11806375.442739079</v>
      </c>
      <c r="K18" s="6">
        <f t="shared" si="5"/>
        <v>11947431.302270014</v>
      </c>
      <c r="L18" s="6">
        <f t="shared" si="6"/>
        <v>122409514.53733197</v>
      </c>
      <c r="M18" s="6">
        <f t="shared" si="7"/>
        <v>12240951.453733196</v>
      </c>
      <c r="N18" s="6"/>
      <c r="O18" s="10">
        <f t="shared" si="8"/>
        <v>118.79116013438363</v>
      </c>
      <c r="P18" s="10">
        <f t="shared" si="9"/>
        <v>11.879116013438365</v>
      </c>
      <c r="Q18" s="10">
        <f t="shared" si="10"/>
        <v>122.40951453733197</v>
      </c>
      <c r="R18" s="10">
        <f t="shared" si="10"/>
        <v>12.240951453733196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16950</v>
      </c>
      <c r="D19" s="1">
        <v>16500</v>
      </c>
      <c r="E19" s="1">
        <v>16700</v>
      </c>
      <c r="F19" s="6">
        <f t="shared" si="0"/>
        <v>129793510.32448378</v>
      </c>
      <c r="G19" s="6">
        <f t="shared" si="1"/>
        <v>133333333.33333334</v>
      </c>
      <c r="H19" s="6">
        <f t="shared" si="2"/>
        <v>131736526.9461078</v>
      </c>
      <c r="I19" s="6">
        <f t="shared" si="3"/>
        <v>11799410.029498525</v>
      </c>
      <c r="J19" s="6">
        <f t="shared" si="4"/>
        <v>12121212.121212123</v>
      </c>
      <c r="K19" s="6">
        <f t="shared" si="5"/>
        <v>11976047.904191619</v>
      </c>
      <c r="L19" s="6">
        <f t="shared" si="6"/>
        <v>134650465.99106517</v>
      </c>
      <c r="M19" s="6">
        <f t="shared" si="7"/>
        <v>12240951.453733198</v>
      </c>
      <c r="N19" s="6"/>
      <c r="O19" s="10">
        <f t="shared" si="8"/>
        <v>131.62112353464164</v>
      </c>
      <c r="P19" s="10">
        <f t="shared" si="9"/>
        <v>11.965556684967423</v>
      </c>
      <c r="Q19" s="10">
        <f t="shared" si="10"/>
        <v>134.65046599106518</v>
      </c>
      <c r="R19" s="10">
        <f t="shared" si="10"/>
        <v>12.240951453733198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16930</v>
      </c>
      <c r="D20" s="1">
        <v>16710</v>
      </c>
      <c r="E20" s="1">
        <v>16740</v>
      </c>
      <c r="F20" s="6">
        <f t="shared" si="0"/>
        <v>141760189.01358536</v>
      </c>
      <c r="G20" s="6">
        <f t="shared" si="1"/>
        <v>143626570.91561937</v>
      </c>
      <c r="H20" s="6">
        <f t="shared" si="2"/>
        <v>143369175.62724015</v>
      </c>
      <c r="I20" s="6">
        <f t="shared" si="3"/>
        <v>11813349.084465446</v>
      </c>
      <c r="J20" s="6">
        <f t="shared" si="4"/>
        <v>11968880.909634948</v>
      </c>
      <c r="K20" s="6">
        <f t="shared" si="5"/>
        <v>11947431.302270012</v>
      </c>
      <c r="L20" s="6">
        <f t="shared" si="6"/>
        <v>146891417.44479835</v>
      </c>
      <c r="M20" s="6">
        <f t="shared" si="7"/>
        <v>12240951.453733196</v>
      </c>
      <c r="N20" s="6"/>
      <c r="O20" s="10">
        <f t="shared" si="8"/>
        <v>142.91864518548164</v>
      </c>
      <c r="P20" s="10">
        <f t="shared" si="9"/>
        <v>11.909887098790133</v>
      </c>
      <c r="Q20" s="10">
        <f t="shared" si="10"/>
        <v>146.89141744479835</v>
      </c>
      <c r="R20" s="10">
        <f t="shared" si="10"/>
        <v>12.240951453733196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16410</v>
      </c>
      <c r="D21" s="1">
        <v>16770</v>
      </c>
      <c r="E21" s="1">
        <v>16920</v>
      </c>
      <c r="F21" s="6">
        <f t="shared" si="0"/>
        <v>158439975.62461913</v>
      </c>
      <c r="G21" s="6">
        <f t="shared" si="1"/>
        <v>155038759.68992248</v>
      </c>
      <c r="H21" s="6">
        <f t="shared" si="2"/>
        <v>153664302.60047281</v>
      </c>
      <c r="I21" s="6">
        <f t="shared" si="3"/>
        <v>12187690.43266301</v>
      </c>
      <c r="J21" s="6">
        <f t="shared" si="4"/>
        <v>11926058.437686345</v>
      </c>
      <c r="K21" s="6">
        <f t="shared" si="5"/>
        <v>11820330.969267139</v>
      </c>
      <c r="L21" s="6">
        <f t="shared" si="6"/>
        <v>159132368.89853156</v>
      </c>
      <c r="M21" s="6">
        <f t="shared" si="7"/>
        <v>12240951.453733196</v>
      </c>
      <c r="N21" s="6"/>
      <c r="O21" s="10">
        <f t="shared" si="8"/>
        <v>155.71434597167146</v>
      </c>
      <c r="P21" s="10">
        <f t="shared" si="9"/>
        <v>11.978026613205499</v>
      </c>
      <c r="Q21" s="10">
        <f t="shared" si="10"/>
        <v>159.13236889853155</v>
      </c>
      <c r="R21" s="10">
        <f t="shared" si="10"/>
        <v>12.240951453733196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16910</v>
      </c>
      <c r="D22" s="1">
        <v>16920</v>
      </c>
      <c r="E22" s="1">
        <v>16560</v>
      </c>
      <c r="F22" s="6">
        <f t="shared" si="0"/>
        <v>165582495.56475458</v>
      </c>
      <c r="G22" s="6">
        <f t="shared" si="1"/>
        <v>165484633.56973997</v>
      </c>
      <c r="H22" s="6">
        <f t="shared" si="2"/>
        <v>169082125.60386473</v>
      </c>
      <c r="I22" s="6">
        <f t="shared" si="3"/>
        <v>11827321.111768184</v>
      </c>
      <c r="J22" s="6">
        <f t="shared" si="4"/>
        <v>11820330.969267141</v>
      </c>
      <c r="K22" s="6">
        <f t="shared" si="5"/>
        <v>12077294.685990337</v>
      </c>
      <c r="L22" s="6">
        <f t="shared" si="6"/>
        <v>171373320.35226476</v>
      </c>
      <c r="M22" s="6">
        <f t="shared" si="7"/>
        <v>12240951.453733196</v>
      </c>
      <c r="N22" s="6"/>
      <c r="O22" s="10">
        <f t="shared" si="8"/>
        <v>166.71641824611976</v>
      </c>
      <c r="P22" s="10">
        <f t="shared" si="9"/>
        <v>11.908315589008556</v>
      </c>
      <c r="Q22" s="10">
        <f t="shared" si="10"/>
        <v>171.37332035226476</v>
      </c>
      <c r="R22" s="10">
        <f t="shared" si="10"/>
        <v>12.240951453733196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16710</v>
      </c>
      <c r="D23" s="1">
        <v>16630</v>
      </c>
      <c r="E23" s="1">
        <v>16880</v>
      </c>
      <c r="F23" s="6">
        <f t="shared" si="0"/>
        <v>179533213.64452425</v>
      </c>
      <c r="G23" s="6">
        <f t="shared" si="1"/>
        <v>180396873.12086591</v>
      </c>
      <c r="H23" s="6">
        <f t="shared" si="2"/>
        <v>177725118.48341233</v>
      </c>
      <c r="I23" s="6">
        <f t="shared" si="3"/>
        <v>11968880.90963495</v>
      </c>
      <c r="J23" s="6">
        <f t="shared" si="4"/>
        <v>12026458.208057728</v>
      </c>
      <c r="K23" s="6">
        <f t="shared" si="5"/>
        <v>11848341.232227487</v>
      </c>
      <c r="L23" s="6">
        <f t="shared" si="6"/>
        <v>183614271.80599794</v>
      </c>
      <c r="M23" s="6">
        <f t="shared" si="7"/>
        <v>12240951.453733196</v>
      </c>
      <c r="N23" s="6"/>
      <c r="O23" s="10">
        <f t="shared" si="8"/>
        <v>179.21840174960079</v>
      </c>
      <c r="P23" s="10">
        <f t="shared" si="9"/>
        <v>11.947893449973389</v>
      </c>
      <c r="Q23" s="10">
        <f t="shared" si="10"/>
        <v>183.61427180599793</v>
      </c>
      <c r="R23" s="10">
        <f t="shared" si="10"/>
        <v>12.240951453733196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16440</v>
      </c>
      <c r="D24" s="1">
        <v>16640</v>
      </c>
      <c r="E24" s="1">
        <v>16910</v>
      </c>
      <c r="F24" s="6">
        <f t="shared" si="0"/>
        <v>194647201.94647202</v>
      </c>
      <c r="G24" s="6">
        <f t="shared" si="1"/>
        <v>192307692.30769232</v>
      </c>
      <c r="H24" s="6">
        <f t="shared" si="2"/>
        <v>189237137.78829095</v>
      </c>
      <c r="I24" s="6">
        <f t="shared" si="3"/>
        <v>12165450.121654501</v>
      </c>
      <c r="J24" s="6">
        <f t="shared" si="4"/>
        <v>12019230.76923077</v>
      </c>
      <c r="K24" s="6">
        <f t="shared" si="5"/>
        <v>11827321.111768184</v>
      </c>
      <c r="L24" s="6">
        <f t="shared" si="6"/>
        <v>195855223.25973114</v>
      </c>
      <c r="M24" s="6">
        <f t="shared" si="7"/>
        <v>12240951.453733196</v>
      </c>
      <c r="N24" s="6"/>
      <c r="O24" s="10">
        <f t="shared" si="8"/>
        <v>192.06401068081843</v>
      </c>
      <c r="P24" s="10">
        <f t="shared" si="9"/>
        <v>12.004000667551152</v>
      </c>
      <c r="Q24" s="10">
        <f t="shared" si="10"/>
        <v>195.85522325973113</v>
      </c>
      <c r="R24" s="10">
        <f t="shared" si="10"/>
        <v>12.240951453733196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16630</v>
      </c>
      <c r="D25" s="1">
        <v>16570</v>
      </c>
      <c r="E25" s="1">
        <v>16740</v>
      </c>
      <c r="F25" s="6">
        <f t="shared" si="0"/>
        <v>204449789.53698134</v>
      </c>
      <c r="G25" s="6">
        <f t="shared" si="1"/>
        <v>205190102.59505129</v>
      </c>
      <c r="H25" s="6">
        <f t="shared" si="2"/>
        <v>203106332.13859019</v>
      </c>
      <c r="I25" s="6">
        <f t="shared" si="3"/>
        <v>12026458.208057726</v>
      </c>
      <c r="J25" s="6">
        <f t="shared" si="4"/>
        <v>12070006.035003018</v>
      </c>
      <c r="K25" s="6">
        <f t="shared" si="5"/>
        <v>11947431.30227001</v>
      </c>
      <c r="L25" s="6">
        <f t="shared" si="6"/>
        <v>208096174.71346435</v>
      </c>
      <c r="M25" s="6">
        <f t="shared" si="7"/>
        <v>12240951.453733196</v>
      </c>
      <c r="N25" s="6"/>
      <c r="O25" s="10">
        <f t="shared" si="8"/>
        <v>204.24874142354096</v>
      </c>
      <c r="P25" s="10">
        <f t="shared" si="9"/>
        <v>12.014631848443585</v>
      </c>
      <c r="Q25" s="10">
        <f t="shared" si="10"/>
        <v>208.09617471346434</v>
      </c>
      <c r="R25" s="10">
        <f t="shared" si="10"/>
        <v>12.240951453733196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16700</v>
      </c>
      <c r="D26" s="1">
        <v>16460</v>
      </c>
      <c r="E26" s="1">
        <v>16870</v>
      </c>
      <c r="F26" s="6">
        <f t="shared" si="0"/>
        <v>215568862.2754491</v>
      </c>
      <c r="G26" s="6">
        <f t="shared" si="1"/>
        <v>218712029.1616039</v>
      </c>
      <c r="H26" s="6">
        <f t="shared" si="2"/>
        <v>213396561.94427979</v>
      </c>
      <c r="I26" s="6">
        <f t="shared" si="3"/>
        <v>11976047.904191617</v>
      </c>
      <c r="J26" s="6">
        <f t="shared" si="4"/>
        <v>12150668.286755772</v>
      </c>
      <c r="K26" s="6">
        <f t="shared" si="5"/>
        <v>11855364.552459989</v>
      </c>
      <c r="L26" s="6">
        <f t="shared" si="6"/>
        <v>220337126.16719753</v>
      </c>
      <c r="M26" s="6">
        <f t="shared" si="7"/>
        <v>12240951.453733196</v>
      </c>
      <c r="N26" s="6"/>
      <c r="O26" s="10">
        <f t="shared" si="8"/>
        <v>215.89248446044425</v>
      </c>
      <c r="P26" s="10">
        <f t="shared" si="9"/>
        <v>11.994026914469128</v>
      </c>
      <c r="Q26" s="10">
        <f t="shared" si="10"/>
        <v>220.33712616719754</v>
      </c>
      <c r="R26" s="10">
        <f t="shared" si="10"/>
        <v>12.240951453733196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17080</v>
      </c>
      <c r="D27" s="1">
        <v>16470</v>
      </c>
      <c r="E27" s="1">
        <v>16680</v>
      </c>
      <c r="F27" s="6">
        <f t="shared" si="0"/>
        <v>222482435.59718969</v>
      </c>
      <c r="G27" s="6">
        <f t="shared" si="1"/>
        <v>230722525.80449301</v>
      </c>
      <c r="H27" s="6">
        <f t="shared" si="2"/>
        <v>227817745.8033573</v>
      </c>
      <c r="I27" s="6">
        <f t="shared" si="3"/>
        <v>11709601.8735363</v>
      </c>
      <c r="J27" s="6">
        <f t="shared" si="4"/>
        <v>12143290.831815422</v>
      </c>
      <c r="K27" s="6">
        <f t="shared" si="5"/>
        <v>11990407.673860911</v>
      </c>
      <c r="L27" s="6">
        <f t="shared" si="6"/>
        <v>232578077.62093073</v>
      </c>
      <c r="M27" s="6">
        <f t="shared" si="7"/>
        <v>12240951.453733196</v>
      </c>
      <c r="N27" s="6"/>
      <c r="O27" s="10">
        <f t="shared" si="8"/>
        <v>227.00756906834664</v>
      </c>
      <c r="P27" s="10">
        <f t="shared" si="9"/>
        <v>11.947766793070876</v>
      </c>
      <c r="Q27" s="10">
        <f t="shared" si="10"/>
        <v>232.57807762093074</v>
      </c>
      <c r="R27" s="10">
        <f t="shared" si="10"/>
        <v>12.240951453733196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16700</v>
      </c>
      <c r="D28" s="1">
        <v>16600</v>
      </c>
      <c r="E28" s="1">
        <v>16760</v>
      </c>
      <c r="F28" s="6">
        <f t="shared" si="0"/>
        <v>239520958.08383235</v>
      </c>
      <c r="G28" s="6">
        <f t="shared" si="1"/>
        <v>240963855.42168674</v>
      </c>
      <c r="H28" s="6">
        <f t="shared" si="2"/>
        <v>238663484.48687351</v>
      </c>
      <c r="I28" s="6">
        <f t="shared" si="3"/>
        <v>11976047.904191617</v>
      </c>
      <c r="J28" s="6">
        <f t="shared" si="4"/>
        <v>12048192.771084337</v>
      </c>
      <c r="K28" s="6">
        <f t="shared" si="5"/>
        <v>11933174.224343676</v>
      </c>
      <c r="L28" s="6">
        <f t="shared" si="6"/>
        <v>244819029.07466394</v>
      </c>
      <c r="M28" s="6">
        <f t="shared" si="7"/>
        <v>12240951.453733196</v>
      </c>
      <c r="N28" s="6"/>
      <c r="O28" s="10">
        <f t="shared" si="8"/>
        <v>239.71609933079753</v>
      </c>
      <c r="P28" s="10">
        <f t="shared" si="9"/>
        <v>11.985804966539874</v>
      </c>
      <c r="Q28" s="10">
        <f t="shared" si="10"/>
        <v>244.81902907466394</v>
      </c>
      <c r="R28" s="10">
        <f t="shared" si="10"/>
        <v>12.240951453733196</v>
      </c>
      <c r="S28" s="6"/>
    </row>
    <row r="29" spans="1:19" x14ac:dyDescent="0.25">
      <c r="A29">
        <v>21</v>
      </c>
      <c r="B29" s="1">
        <f t="shared" si="11"/>
        <v>2100000000</v>
      </c>
      <c r="C29" s="1">
        <v>16770</v>
      </c>
      <c r="D29" s="1">
        <v>16590</v>
      </c>
      <c r="E29" s="1">
        <v>16710</v>
      </c>
      <c r="F29" s="6">
        <f t="shared" si="0"/>
        <v>250447227.19141322</v>
      </c>
      <c r="G29" s="6">
        <f t="shared" si="1"/>
        <v>253164556.96202531</v>
      </c>
      <c r="H29" s="6">
        <f t="shared" si="2"/>
        <v>251346499.10233393</v>
      </c>
      <c r="I29" s="6">
        <f t="shared" si="3"/>
        <v>11926058.437686345</v>
      </c>
      <c r="J29" s="6">
        <f t="shared" si="4"/>
        <v>12055455.093429778</v>
      </c>
      <c r="K29" s="6">
        <f t="shared" si="5"/>
        <v>11968880.90963495</v>
      </c>
      <c r="L29" s="6">
        <f t="shared" si="6"/>
        <v>257059980.52839711</v>
      </c>
      <c r="M29" s="6">
        <f t="shared" si="7"/>
        <v>12240951.453733196</v>
      </c>
      <c r="N29" s="6"/>
      <c r="O29" s="10">
        <f t="shared" si="8"/>
        <v>251.65276108525751</v>
      </c>
      <c r="P29" s="10">
        <f t="shared" si="9"/>
        <v>11.983464813583689</v>
      </c>
      <c r="Q29" s="10">
        <f t="shared" si="10"/>
        <v>257.05998052839709</v>
      </c>
      <c r="R29" s="10">
        <f t="shared" si="10"/>
        <v>12.240951453733196</v>
      </c>
      <c r="S29" s="6"/>
    </row>
    <row r="30" spans="1:19" x14ac:dyDescent="0.25">
      <c r="A30">
        <v>22</v>
      </c>
      <c r="B30" s="1">
        <f t="shared" si="11"/>
        <v>2200000000</v>
      </c>
      <c r="C30" s="1">
        <v>16690</v>
      </c>
      <c r="D30" s="1">
        <v>16500</v>
      </c>
      <c r="E30" s="1">
        <v>16530</v>
      </c>
      <c r="F30" s="6">
        <f t="shared" si="0"/>
        <v>263630916.71659675</v>
      </c>
      <c r="G30" s="6">
        <f t="shared" si="1"/>
        <v>266666666.66666669</v>
      </c>
      <c r="H30" s="6">
        <f t="shared" si="2"/>
        <v>266182698.12462187</v>
      </c>
      <c r="I30" s="6">
        <f t="shared" si="3"/>
        <v>11983223.487118034</v>
      </c>
      <c r="J30" s="6">
        <f t="shared" si="4"/>
        <v>12121212.121212123</v>
      </c>
      <c r="K30" s="6">
        <f t="shared" si="5"/>
        <v>12099213.551119177</v>
      </c>
      <c r="L30" s="6">
        <f t="shared" si="6"/>
        <v>269300931.98213035</v>
      </c>
      <c r="M30" s="6">
        <f t="shared" si="7"/>
        <v>12240951.453733198</v>
      </c>
      <c r="N30" s="6"/>
      <c r="O30" s="10">
        <f t="shared" si="8"/>
        <v>265.4934271692951</v>
      </c>
      <c r="P30" s="10">
        <f t="shared" si="9"/>
        <v>12.067883053149776</v>
      </c>
      <c r="Q30" s="10">
        <f t="shared" si="10"/>
        <v>269.30093198213035</v>
      </c>
      <c r="R30" s="10">
        <f t="shared" si="10"/>
        <v>12.240951453733198</v>
      </c>
      <c r="S30" s="6"/>
    </row>
    <row r="31" spans="1:19" x14ac:dyDescent="0.25">
      <c r="A31">
        <v>23</v>
      </c>
      <c r="B31" s="1">
        <f t="shared" si="11"/>
        <v>2300000000</v>
      </c>
      <c r="C31" s="1">
        <v>16790</v>
      </c>
      <c r="D31" s="1">
        <v>16910</v>
      </c>
      <c r="E31" s="1">
        <v>16470</v>
      </c>
      <c r="F31" s="6">
        <f t="shared" si="0"/>
        <v>273972602.73972601</v>
      </c>
      <c r="G31" s="6">
        <f t="shared" si="1"/>
        <v>272028385.57066828</v>
      </c>
      <c r="H31" s="6">
        <f t="shared" si="2"/>
        <v>279295689.1317547</v>
      </c>
      <c r="I31" s="6">
        <f t="shared" si="3"/>
        <v>11911852.293031566</v>
      </c>
      <c r="J31" s="6">
        <f t="shared" si="4"/>
        <v>11827321.111768186</v>
      </c>
      <c r="K31" s="6">
        <f t="shared" si="5"/>
        <v>12143290.831815422</v>
      </c>
      <c r="L31" s="6">
        <f t="shared" si="6"/>
        <v>281541883.43586349</v>
      </c>
      <c r="M31" s="6">
        <f t="shared" si="7"/>
        <v>12240951.453733195</v>
      </c>
      <c r="N31" s="6"/>
      <c r="O31" s="10">
        <f t="shared" si="8"/>
        <v>275.0988924807163</v>
      </c>
      <c r="P31" s="10">
        <f t="shared" si="9"/>
        <v>11.960821412205057</v>
      </c>
      <c r="Q31" s="10">
        <f t="shared" si="10"/>
        <v>281.5418834358635</v>
      </c>
      <c r="R31" s="10">
        <f t="shared" si="10"/>
        <v>12.240951453733194</v>
      </c>
      <c r="S31" s="6"/>
    </row>
    <row r="32" spans="1:19" x14ac:dyDescent="0.25">
      <c r="A32">
        <v>24</v>
      </c>
      <c r="B32" s="1">
        <f t="shared" si="11"/>
        <v>2400000000</v>
      </c>
      <c r="C32" s="1">
        <v>16860</v>
      </c>
      <c r="D32" s="1">
        <v>16580</v>
      </c>
      <c r="E32" s="1">
        <v>16510</v>
      </c>
      <c r="F32" s="6">
        <f t="shared" si="0"/>
        <v>284697508.89679712</v>
      </c>
      <c r="G32" s="6">
        <f t="shared" si="1"/>
        <v>289505428.22677928</v>
      </c>
      <c r="H32" s="6">
        <f t="shared" si="2"/>
        <v>290732889.15808606</v>
      </c>
      <c r="I32" s="6">
        <f t="shared" si="3"/>
        <v>11862396.204033213</v>
      </c>
      <c r="J32" s="6">
        <f t="shared" si="4"/>
        <v>12062726.176115803</v>
      </c>
      <c r="K32" s="6">
        <f t="shared" si="5"/>
        <v>12113870.381586919</v>
      </c>
      <c r="L32" s="6">
        <f t="shared" si="6"/>
        <v>293782834.8895967</v>
      </c>
      <c r="M32" s="6">
        <f t="shared" si="7"/>
        <v>12240951.453733196</v>
      </c>
      <c r="N32" s="6"/>
      <c r="O32" s="10">
        <f t="shared" si="8"/>
        <v>288.31194209388752</v>
      </c>
      <c r="P32" s="10">
        <f t="shared" si="9"/>
        <v>12.012997587245311</v>
      </c>
      <c r="Q32" s="10">
        <f t="shared" si="10"/>
        <v>293.7828348895967</v>
      </c>
      <c r="R32" s="10">
        <f t="shared" si="10"/>
        <v>12.240951453733196</v>
      </c>
      <c r="S32" s="6"/>
    </row>
    <row r="33" spans="1:19" x14ac:dyDescent="0.25">
      <c r="A33">
        <v>25</v>
      </c>
      <c r="B33" s="1">
        <f t="shared" si="11"/>
        <v>2500000000</v>
      </c>
      <c r="C33" s="1">
        <v>16570</v>
      </c>
      <c r="D33" s="1">
        <v>16860</v>
      </c>
      <c r="E33" s="1">
        <v>16730</v>
      </c>
      <c r="F33" s="6">
        <f t="shared" si="0"/>
        <v>301750150.8750754</v>
      </c>
      <c r="G33" s="6">
        <f t="shared" si="1"/>
        <v>296559905.10083038</v>
      </c>
      <c r="H33" s="6">
        <f t="shared" si="2"/>
        <v>298864315.60071725</v>
      </c>
      <c r="I33" s="6">
        <f t="shared" si="3"/>
        <v>12070006.035003016</v>
      </c>
      <c r="J33" s="6">
        <f t="shared" si="4"/>
        <v>11862396.204033215</v>
      </c>
      <c r="K33" s="6">
        <f t="shared" si="5"/>
        <v>11954572.62402869</v>
      </c>
      <c r="L33" s="6">
        <f t="shared" si="6"/>
        <v>306023786.34332991</v>
      </c>
      <c r="M33" s="6">
        <f t="shared" si="7"/>
        <v>12240951.453733196</v>
      </c>
      <c r="N33" s="6"/>
      <c r="O33" s="10">
        <f t="shared" si="8"/>
        <v>299.0581238588743</v>
      </c>
      <c r="P33" s="10">
        <f t="shared" si="9"/>
        <v>11.962324954354974</v>
      </c>
      <c r="Q33" s="10">
        <f t="shared" si="10"/>
        <v>306.0237863433299</v>
      </c>
      <c r="R33" s="10">
        <f t="shared" si="10"/>
        <v>12.240951453733196</v>
      </c>
      <c r="S33" s="6"/>
    </row>
    <row r="34" spans="1:19" x14ac:dyDescent="0.25">
      <c r="A34">
        <v>26</v>
      </c>
      <c r="B34" s="1">
        <f t="shared" si="11"/>
        <v>2600000000</v>
      </c>
      <c r="C34" s="1">
        <v>16730</v>
      </c>
      <c r="D34" s="1">
        <v>16800</v>
      </c>
      <c r="E34" s="1">
        <v>16680</v>
      </c>
      <c r="F34" s="6">
        <f t="shared" si="0"/>
        <v>310818888.22474599</v>
      </c>
      <c r="G34" s="6">
        <f t="shared" si="1"/>
        <v>309523809.52380955</v>
      </c>
      <c r="H34" s="6">
        <f t="shared" si="2"/>
        <v>311750599.52038372</v>
      </c>
      <c r="I34" s="6">
        <f t="shared" si="3"/>
        <v>11954572.624028692</v>
      </c>
      <c r="J34" s="6">
        <f t="shared" si="4"/>
        <v>11904761.904761907</v>
      </c>
      <c r="K34" s="6">
        <f t="shared" si="5"/>
        <v>11990407.673860911</v>
      </c>
      <c r="L34" s="6">
        <f t="shared" si="6"/>
        <v>318264737.79706311</v>
      </c>
      <c r="M34" s="6">
        <f t="shared" si="7"/>
        <v>12240951.453733196</v>
      </c>
      <c r="N34" s="6"/>
      <c r="O34" s="10">
        <f t="shared" si="8"/>
        <v>310.69776575631306</v>
      </c>
      <c r="P34" s="10">
        <f t="shared" si="9"/>
        <v>11.949914067550505</v>
      </c>
      <c r="Q34" s="10">
        <f t="shared" si="10"/>
        <v>318.26473779706311</v>
      </c>
      <c r="R34" s="10">
        <f t="shared" si="10"/>
        <v>12.240951453733196</v>
      </c>
      <c r="S34" s="6"/>
    </row>
    <row r="35" spans="1:19" x14ac:dyDescent="0.25">
      <c r="A35">
        <v>27</v>
      </c>
      <c r="B35" s="1">
        <f t="shared" si="11"/>
        <v>2700000000</v>
      </c>
      <c r="C35" s="1">
        <v>16650</v>
      </c>
      <c r="D35" s="1">
        <v>16690</v>
      </c>
      <c r="E35" s="1">
        <v>16580</v>
      </c>
      <c r="F35" s="6">
        <f t="shared" si="0"/>
        <v>324324324.32432431</v>
      </c>
      <c r="G35" s="6">
        <f t="shared" si="1"/>
        <v>323547034.15218693</v>
      </c>
      <c r="H35" s="6">
        <f t="shared" si="2"/>
        <v>325693606.75512666</v>
      </c>
      <c r="I35" s="6">
        <f t="shared" si="3"/>
        <v>12012012.012012012</v>
      </c>
      <c r="J35" s="6">
        <f t="shared" si="4"/>
        <v>11983223.487118034</v>
      </c>
      <c r="K35" s="6">
        <f t="shared" si="5"/>
        <v>12062726.176115802</v>
      </c>
      <c r="L35" s="6">
        <f t="shared" si="6"/>
        <v>330505689.25079632</v>
      </c>
      <c r="M35" s="6">
        <f t="shared" si="7"/>
        <v>12240951.453733196</v>
      </c>
      <c r="N35" s="6"/>
      <c r="O35" s="10">
        <f t="shared" si="8"/>
        <v>324.52165507721264</v>
      </c>
      <c r="P35" s="10">
        <f t="shared" si="9"/>
        <v>12.019320558415284</v>
      </c>
      <c r="Q35" s="10">
        <f t="shared" si="10"/>
        <v>330.50568925079631</v>
      </c>
      <c r="R35" s="10">
        <f t="shared" si="10"/>
        <v>12.240951453733196</v>
      </c>
      <c r="S35" s="6"/>
    </row>
    <row r="36" spans="1:19" x14ac:dyDescent="0.25">
      <c r="A36">
        <v>28</v>
      </c>
      <c r="B36" s="1">
        <f t="shared" si="11"/>
        <v>2800000000</v>
      </c>
      <c r="C36" s="1">
        <v>16640</v>
      </c>
      <c r="D36" s="1">
        <v>16470</v>
      </c>
      <c r="E36" s="1">
        <v>16620</v>
      </c>
      <c r="F36" s="6">
        <f t="shared" si="0"/>
        <v>336538461.53846157</v>
      </c>
      <c r="G36" s="6">
        <f t="shared" si="1"/>
        <v>340012143.2908318</v>
      </c>
      <c r="H36" s="6">
        <f t="shared" si="2"/>
        <v>336943441.63658243</v>
      </c>
      <c r="I36" s="6">
        <f t="shared" si="3"/>
        <v>12019230.76923077</v>
      </c>
      <c r="J36" s="6">
        <f t="shared" si="4"/>
        <v>12143290.831815422</v>
      </c>
      <c r="K36" s="6">
        <f t="shared" si="5"/>
        <v>12033694.344163658</v>
      </c>
      <c r="L36" s="6">
        <f t="shared" si="6"/>
        <v>342746640.70452952</v>
      </c>
      <c r="M36" s="6">
        <f t="shared" si="7"/>
        <v>12240951.453733196</v>
      </c>
      <c r="N36" s="6"/>
      <c r="O36" s="10">
        <f t="shared" si="8"/>
        <v>337.83134882195861</v>
      </c>
      <c r="P36" s="10">
        <f t="shared" si="9"/>
        <v>12.065405315069949</v>
      </c>
      <c r="Q36" s="10">
        <f t="shared" si="10"/>
        <v>342.74664070452951</v>
      </c>
      <c r="R36" s="10">
        <f t="shared" si="10"/>
        <v>12.240951453733196</v>
      </c>
      <c r="S36" s="6"/>
    </row>
    <row r="37" spans="1:19" x14ac:dyDescent="0.25">
      <c r="A37">
        <v>29</v>
      </c>
      <c r="B37" s="1">
        <f t="shared" si="11"/>
        <v>2900000000</v>
      </c>
      <c r="C37" s="1">
        <v>16630</v>
      </c>
      <c r="D37" s="1">
        <v>16810</v>
      </c>
      <c r="E37" s="1">
        <v>16520</v>
      </c>
      <c r="F37" s="6">
        <f t="shared" si="0"/>
        <v>348767288.03367406</v>
      </c>
      <c r="G37" s="6">
        <f t="shared" si="1"/>
        <v>345032718.61986917</v>
      </c>
      <c r="H37" s="6">
        <f t="shared" si="2"/>
        <v>351089588.37772399</v>
      </c>
      <c r="I37" s="6">
        <f t="shared" si="3"/>
        <v>12026458.208057726</v>
      </c>
      <c r="J37" s="6">
        <f t="shared" si="4"/>
        <v>11897679.952409282</v>
      </c>
      <c r="K37" s="6">
        <f t="shared" si="5"/>
        <v>12106537.530266345</v>
      </c>
      <c r="L37" s="6">
        <f t="shared" si="6"/>
        <v>354987592.15826267</v>
      </c>
      <c r="M37" s="6">
        <f t="shared" si="7"/>
        <v>12240951.453733195</v>
      </c>
      <c r="N37" s="6"/>
      <c r="O37" s="10">
        <f t="shared" si="8"/>
        <v>348.29653167708904</v>
      </c>
      <c r="P37" s="10">
        <f t="shared" si="9"/>
        <v>12.010225230244449</v>
      </c>
      <c r="Q37" s="10">
        <f t="shared" si="10"/>
        <v>354.98759215826266</v>
      </c>
      <c r="R37" s="10">
        <f t="shared" si="10"/>
        <v>12.240951453733194</v>
      </c>
      <c r="S37" s="6"/>
    </row>
    <row r="38" spans="1:19" x14ac:dyDescent="0.25">
      <c r="A38">
        <v>30</v>
      </c>
      <c r="B38" s="1">
        <f t="shared" si="11"/>
        <v>3000000000</v>
      </c>
      <c r="C38" s="1">
        <v>16790</v>
      </c>
      <c r="D38" s="1">
        <v>16570</v>
      </c>
      <c r="E38" s="1">
        <v>16350</v>
      </c>
      <c r="F38" s="6">
        <f t="shared" si="0"/>
        <v>357355568.79094696</v>
      </c>
      <c r="G38" s="6">
        <f t="shared" si="1"/>
        <v>362100181.05009055</v>
      </c>
      <c r="H38" s="6">
        <f t="shared" si="2"/>
        <v>366972477.06422019</v>
      </c>
      <c r="I38" s="6">
        <f t="shared" si="3"/>
        <v>11911852.293031566</v>
      </c>
      <c r="J38" s="6">
        <f t="shared" si="4"/>
        <v>12070006.035003018</v>
      </c>
      <c r="K38" s="6">
        <f t="shared" si="5"/>
        <v>12232415.902140673</v>
      </c>
      <c r="L38" s="6">
        <f t="shared" si="6"/>
        <v>367228543.61199588</v>
      </c>
      <c r="M38" s="6">
        <f t="shared" si="7"/>
        <v>12240951.453733196</v>
      </c>
      <c r="N38" s="6"/>
      <c r="O38" s="10">
        <f t="shared" si="8"/>
        <v>362.14274230175255</v>
      </c>
      <c r="P38" s="10">
        <f t="shared" si="9"/>
        <v>12.071424743391752</v>
      </c>
      <c r="Q38" s="10">
        <f t="shared" si="10"/>
        <v>367.22854361199586</v>
      </c>
      <c r="R38" s="10">
        <f t="shared" si="10"/>
        <v>12.240951453733196</v>
      </c>
      <c r="S38" s="6"/>
    </row>
    <row r="39" spans="1:19" x14ac:dyDescent="0.25">
      <c r="A39">
        <v>31</v>
      </c>
      <c r="B39" s="1">
        <f t="shared" si="11"/>
        <v>3100000000</v>
      </c>
      <c r="C39" s="1">
        <v>16590</v>
      </c>
      <c r="D39" s="1">
        <v>16730</v>
      </c>
      <c r="E39" s="1">
        <v>16630</v>
      </c>
      <c r="F39" s="6">
        <f t="shared" si="0"/>
        <v>373719107.89632308</v>
      </c>
      <c r="G39" s="6">
        <f t="shared" si="1"/>
        <v>370591751.3448894</v>
      </c>
      <c r="H39" s="6">
        <f t="shared" si="2"/>
        <v>372820204.44978952</v>
      </c>
      <c r="I39" s="6">
        <f t="shared" si="3"/>
        <v>12055455.093429778</v>
      </c>
      <c r="J39" s="6">
        <f t="shared" si="4"/>
        <v>11954572.62402869</v>
      </c>
      <c r="K39" s="6">
        <f t="shared" si="5"/>
        <v>12026458.208057726</v>
      </c>
      <c r="L39" s="6">
        <f t="shared" si="6"/>
        <v>379469495.06572908</v>
      </c>
      <c r="M39" s="6">
        <f t="shared" si="7"/>
        <v>12240951.453733196</v>
      </c>
      <c r="N39" s="6"/>
      <c r="O39" s="10">
        <f t="shared" si="8"/>
        <v>372.37702123033398</v>
      </c>
      <c r="P39" s="10">
        <f t="shared" si="9"/>
        <v>12.012161975172065</v>
      </c>
      <c r="Q39" s="10">
        <f t="shared" si="10"/>
        <v>379.46949506572906</v>
      </c>
      <c r="R39" s="10">
        <f t="shared" si="10"/>
        <v>12.240951453733196</v>
      </c>
      <c r="S39" s="6"/>
    </row>
    <row r="40" spans="1:19" x14ac:dyDescent="0.25">
      <c r="A40">
        <v>32</v>
      </c>
      <c r="B40" s="1">
        <f t="shared" si="11"/>
        <v>3200000000</v>
      </c>
      <c r="C40" s="1">
        <v>16800</v>
      </c>
      <c r="D40" s="1">
        <v>16920</v>
      </c>
      <c r="E40" s="1">
        <v>17010</v>
      </c>
      <c r="F40" s="6">
        <f t="shared" si="0"/>
        <v>380952380.95238096</v>
      </c>
      <c r="G40" s="6">
        <f t="shared" si="1"/>
        <v>378250591.01654845</v>
      </c>
      <c r="H40" s="6">
        <f t="shared" si="2"/>
        <v>376249265.13815403</v>
      </c>
      <c r="I40" s="6">
        <f t="shared" si="3"/>
        <v>11904761.904761905</v>
      </c>
      <c r="J40" s="6">
        <f t="shared" si="4"/>
        <v>11820330.969267139</v>
      </c>
      <c r="K40" s="6">
        <f t="shared" si="5"/>
        <v>11757789.535567313</v>
      </c>
      <c r="L40" s="6">
        <f t="shared" si="6"/>
        <v>391710446.51946229</v>
      </c>
      <c r="M40" s="6">
        <f t="shared" si="7"/>
        <v>12240951.453733196</v>
      </c>
      <c r="N40" s="6"/>
      <c r="O40" s="10">
        <f t="shared" si="8"/>
        <v>378.48407903569444</v>
      </c>
      <c r="P40" s="10">
        <f t="shared" si="9"/>
        <v>11.827627469865451</v>
      </c>
      <c r="Q40" s="10">
        <f t="shared" si="10"/>
        <v>391.71044651946227</v>
      </c>
      <c r="R40" s="10">
        <f t="shared" si="10"/>
        <v>12.240951453733196</v>
      </c>
      <c r="S40" s="6"/>
    </row>
    <row r="41" spans="1:19" x14ac:dyDescent="0.25">
      <c r="A41">
        <v>33</v>
      </c>
      <c r="B41" s="1">
        <f t="shared" si="11"/>
        <v>3300000000</v>
      </c>
      <c r="C41" s="1">
        <v>17100</v>
      </c>
      <c r="D41" s="1">
        <v>17190</v>
      </c>
      <c r="E41" s="1">
        <v>17020</v>
      </c>
      <c r="F41" s="6">
        <f t="shared" si="0"/>
        <v>385964912.28070176</v>
      </c>
      <c r="G41" s="6">
        <f t="shared" si="1"/>
        <v>383944153.57766145</v>
      </c>
      <c r="H41" s="6">
        <f t="shared" si="2"/>
        <v>387779083.43125737</v>
      </c>
      <c r="I41" s="6">
        <f t="shared" si="3"/>
        <v>11695906.432748538</v>
      </c>
      <c r="J41" s="6">
        <f t="shared" si="4"/>
        <v>11634671.320535196</v>
      </c>
      <c r="K41" s="6">
        <f t="shared" si="5"/>
        <v>11750881.316098709</v>
      </c>
      <c r="L41" s="6">
        <f>$L$40+$L$9*(A41-32)*40%</f>
        <v>396606827.10095555</v>
      </c>
      <c r="M41" s="6">
        <f t="shared" si="7"/>
        <v>12018388.700028956</v>
      </c>
      <c r="N41" s="6"/>
      <c r="O41" s="10">
        <f t="shared" si="8"/>
        <v>385.8960497632068</v>
      </c>
      <c r="P41" s="10">
        <f t="shared" si="9"/>
        <v>11.693819689794147</v>
      </c>
      <c r="Q41" s="10">
        <f t="shared" si="10"/>
        <v>396.60682710095557</v>
      </c>
      <c r="R41" s="10">
        <f t="shared" si="10"/>
        <v>12.018388700028956</v>
      </c>
      <c r="S41" s="6"/>
    </row>
    <row r="42" spans="1:19" x14ac:dyDescent="0.25">
      <c r="A42">
        <v>34</v>
      </c>
      <c r="B42" s="1">
        <f t="shared" si="11"/>
        <v>3400000000</v>
      </c>
      <c r="C42" s="1">
        <v>17460</v>
      </c>
      <c r="D42" s="1">
        <v>17400</v>
      </c>
      <c r="E42" s="1">
        <v>17370</v>
      </c>
      <c r="F42" s="6">
        <f t="shared" si="0"/>
        <v>389461626.57502866</v>
      </c>
      <c r="G42" s="6">
        <f t="shared" si="1"/>
        <v>390804597.7011494</v>
      </c>
      <c r="H42" s="6">
        <f t="shared" si="2"/>
        <v>391479562.4640184</v>
      </c>
      <c r="I42" s="6">
        <f t="shared" si="3"/>
        <v>11454753.722794961</v>
      </c>
      <c r="J42" s="6">
        <f t="shared" si="4"/>
        <v>11494252.873563217</v>
      </c>
      <c r="K42" s="6">
        <f t="shared" si="5"/>
        <v>11514104.778353482</v>
      </c>
      <c r="L42" s="6">
        <f t="shared" ref="L42:L72" si="12">$L$40+$L$9*(A42-32)*40%</f>
        <v>401503207.68244886</v>
      </c>
      <c r="M42" s="6">
        <f t="shared" si="7"/>
        <v>11808917.873013202</v>
      </c>
      <c r="N42" s="6"/>
      <c r="O42" s="10">
        <f t="shared" si="8"/>
        <v>390.58192891339883</v>
      </c>
      <c r="P42" s="10">
        <f t="shared" si="9"/>
        <v>11.487703791570553</v>
      </c>
      <c r="Q42" s="10">
        <f t="shared" si="10"/>
        <v>401.50320768244887</v>
      </c>
      <c r="R42" s="10">
        <f t="shared" si="10"/>
        <v>11.808917873013202</v>
      </c>
      <c r="S42" s="6"/>
    </row>
    <row r="43" spans="1:19" x14ac:dyDescent="0.25">
      <c r="A43">
        <v>35</v>
      </c>
      <c r="B43" s="1">
        <f t="shared" si="11"/>
        <v>3500000000</v>
      </c>
      <c r="C43" s="1">
        <v>17750</v>
      </c>
      <c r="D43" s="1">
        <v>17820</v>
      </c>
      <c r="E43" s="1">
        <v>17750</v>
      </c>
      <c r="F43" s="6">
        <f t="shared" si="0"/>
        <v>394366197.18309861</v>
      </c>
      <c r="G43" s="6">
        <f t="shared" si="1"/>
        <v>392817059.48372614</v>
      </c>
      <c r="H43" s="6">
        <f t="shared" si="2"/>
        <v>394366197.18309861</v>
      </c>
      <c r="I43" s="6">
        <f t="shared" si="3"/>
        <v>11267605.633802818</v>
      </c>
      <c r="J43" s="6">
        <f t="shared" si="4"/>
        <v>11223344.556677889</v>
      </c>
      <c r="K43" s="6">
        <f t="shared" si="5"/>
        <v>11267605.633802818</v>
      </c>
      <c r="L43" s="6">
        <f t="shared" si="12"/>
        <v>406399588.26394212</v>
      </c>
      <c r="M43" s="6">
        <f t="shared" si="7"/>
        <v>11611416.807541203</v>
      </c>
      <c r="N43" s="6"/>
      <c r="O43" s="10">
        <f t="shared" si="8"/>
        <v>393.84981794997447</v>
      </c>
      <c r="P43" s="10">
        <f t="shared" si="9"/>
        <v>11.252851941427842</v>
      </c>
      <c r="Q43" s="10">
        <f t="shared" si="10"/>
        <v>406.39958826394212</v>
      </c>
      <c r="R43" s="10">
        <f t="shared" si="10"/>
        <v>11.611416807541202</v>
      </c>
      <c r="S43" s="6"/>
    </row>
    <row r="44" spans="1:19" x14ac:dyDescent="0.25">
      <c r="A44">
        <v>36</v>
      </c>
      <c r="B44" s="1">
        <f t="shared" si="11"/>
        <v>3600000000</v>
      </c>
      <c r="C44" s="1">
        <v>18130</v>
      </c>
      <c r="D44" s="1">
        <v>17990</v>
      </c>
      <c r="E44" s="1">
        <v>18030</v>
      </c>
      <c r="F44" s="6">
        <f t="shared" si="0"/>
        <v>397131825.70325428</v>
      </c>
      <c r="G44" s="6">
        <f t="shared" si="1"/>
        <v>400222345.74763757</v>
      </c>
      <c r="H44" s="6">
        <f t="shared" si="2"/>
        <v>399334442.59567392</v>
      </c>
      <c r="I44" s="6">
        <f t="shared" si="3"/>
        <v>11031439.602868175</v>
      </c>
      <c r="J44" s="6">
        <f t="shared" si="4"/>
        <v>11117287.381878821</v>
      </c>
      <c r="K44" s="6">
        <f t="shared" si="5"/>
        <v>11092623.405435387</v>
      </c>
      <c r="L44" s="6">
        <f t="shared" si="12"/>
        <v>411295968.84543538</v>
      </c>
      <c r="M44" s="6">
        <f t="shared" si="7"/>
        <v>11424888.023484316</v>
      </c>
      <c r="N44" s="6"/>
      <c r="O44" s="10">
        <f t="shared" si="8"/>
        <v>398.89620468218857</v>
      </c>
      <c r="P44" s="10">
        <f t="shared" si="9"/>
        <v>11.080450130060793</v>
      </c>
      <c r="Q44" s="10">
        <f t="shared" si="10"/>
        <v>411.29596884543537</v>
      </c>
      <c r="R44" s="10">
        <f t="shared" si="10"/>
        <v>11.424888023484316</v>
      </c>
      <c r="S44" s="6"/>
    </row>
    <row r="45" spans="1:19" x14ac:dyDescent="0.25">
      <c r="A45">
        <v>37</v>
      </c>
      <c r="B45" s="1">
        <f t="shared" si="11"/>
        <v>3700000000</v>
      </c>
      <c r="C45" s="1">
        <v>18140</v>
      </c>
      <c r="D45" s="1">
        <v>18170</v>
      </c>
      <c r="E45" s="1">
        <v>18340</v>
      </c>
      <c r="F45" s="6">
        <f t="shared" si="0"/>
        <v>407938257.99338478</v>
      </c>
      <c r="G45" s="6">
        <f t="shared" si="1"/>
        <v>407264722.06934506</v>
      </c>
      <c r="H45" s="6">
        <f t="shared" si="2"/>
        <v>403489640.13086146</v>
      </c>
      <c r="I45" s="6">
        <f t="shared" si="3"/>
        <v>11025358.324145535</v>
      </c>
      <c r="J45" s="6">
        <f t="shared" si="4"/>
        <v>11007154.650522839</v>
      </c>
      <c r="K45" s="6">
        <f t="shared" si="5"/>
        <v>10905125.408942202</v>
      </c>
      <c r="L45" s="6">
        <f t="shared" si="12"/>
        <v>416192349.4269287</v>
      </c>
      <c r="M45" s="6">
        <f t="shared" si="7"/>
        <v>11248441.876403479</v>
      </c>
      <c r="N45" s="6"/>
      <c r="O45" s="10">
        <f t="shared" si="8"/>
        <v>406.23087339786383</v>
      </c>
      <c r="P45" s="10">
        <f t="shared" si="9"/>
        <v>10.979212794536858</v>
      </c>
      <c r="Q45" s="10">
        <f t="shared" si="10"/>
        <v>416.19234942692867</v>
      </c>
      <c r="R45" s="10">
        <f t="shared" si="10"/>
        <v>11.248441876403479</v>
      </c>
      <c r="S45" s="6"/>
    </row>
    <row r="46" spans="1:19" x14ac:dyDescent="0.25">
      <c r="A46">
        <v>38</v>
      </c>
      <c r="B46" s="1">
        <f t="shared" si="11"/>
        <v>3800000000</v>
      </c>
      <c r="C46" s="1">
        <v>18280</v>
      </c>
      <c r="D46" s="1">
        <v>18660</v>
      </c>
      <c r="E46" s="1">
        <v>18450</v>
      </c>
      <c r="F46" s="6">
        <f t="shared" si="0"/>
        <v>415754923.41356671</v>
      </c>
      <c r="G46" s="6">
        <f t="shared" si="1"/>
        <v>407288317.25616294</v>
      </c>
      <c r="H46" s="6">
        <f t="shared" si="2"/>
        <v>411924119.2411924</v>
      </c>
      <c r="I46" s="6">
        <f t="shared" si="3"/>
        <v>10940919.037199125</v>
      </c>
      <c r="J46" s="6">
        <f t="shared" si="4"/>
        <v>10718113.612004288</v>
      </c>
      <c r="K46" s="6">
        <f t="shared" si="5"/>
        <v>10840108.401084011</v>
      </c>
      <c r="L46" s="6">
        <f t="shared" si="12"/>
        <v>421088730.00842196</v>
      </c>
      <c r="M46" s="6">
        <f t="shared" si="7"/>
        <v>11081282.368642682</v>
      </c>
      <c r="N46" s="6"/>
      <c r="O46" s="10">
        <f t="shared" si="8"/>
        <v>411.65578663697403</v>
      </c>
      <c r="P46" s="10">
        <f t="shared" si="9"/>
        <v>10.833047016762475</v>
      </c>
      <c r="Q46" s="10">
        <f t="shared" si="10"/>
        <v>421.08873000842198</v>
      </c>
      <c r="R46" s="10">
        <f t="shared" si="10"/>
        <v>11.081282368642682</v>
      </c>
      <c r="S46" s="6"/>
    </row>
    <row r="47" spans="1:19" x14ac:dyDescent="0.25">
      <c r="A47">
        <v>39</v>
      </c>
      <c r="B47" s="1">
        <f t="shared" si="11"/>
        <v>3900000000</v>
      </c>
      <c r="C47" s="1">
        <v>18490</v>
      </c>
      <c r="D47" s="1">
        <v>18920</v>
      </c>
      <c r="E47" s="1">
        <v>19050</v>
      </c>
      <c r="F47" s="6">
        <f t="shared" si="0"/>
        <v>421849648.45862627</v>
      </c>
      <c r="G47" s="6">
        <f t="shared" si="1"/>
        <v>412262156.44820297</v>
      </c>
      <c r="H47" s="6">
        <f t="shared" si="2"/>
        <v>409448818.89763778</v>
      </c>
      <c r="I47" s="6">
        <f t="shared" si="3"/>
        <v>10816657.652785288</v>
      </c>
      <c r="J47" s="6">
        <f t="shared" si="4"/>
        <v>10570824.524312897</v>
      </c>
      <c r="K47" s="6">
        <f t="shared" si="5"/>
        <v>10498687.664041994</v>
      </c>
      <c r="L47" s="6">
        <f t="shared" si="12"/>
        <v>425985110.58991522</v>
      </c>
      <c r="M47" s="6">
        <f t="shared" si="7"/>
        <v>10922695.143331159</v>
      </c>
      <c r="N47" s="6"/>
      <c r="O47" s="10">
        <f t="shared" si="8"/>
        <v>414.52020793482234</v>
      </c>
      <c r="P47" s="10">
        <f t="shared" si="9"/>
        <v>10.628723280380061</v>
      </c>
      <c r="Q47" s="10">
        <f t="shared" si="10"/>
        <v>425.98511058991522</v>
      </c>
      <c r="R47" s="10">
        <f t="shared" si="10"/>
        <v>10.922695143331159</v>
      </c>
      <c r="S47" s="6"/>
    </row>
    <row r="48" spans="1:19" x14ac:dyDescent="0.25">
      <c r="A48">
        <v>40</v>
      </c>
      <c r="B48" s="1">
        <f t="shared" si="11"/>
        <v>4000000000</v>
      </c>
      <c r="C48" s="1">
        <v>19480</v>
      </c>
      <c r="D48" s="1">
        <v>19230</v>
      </c>
      <c r="E48" s="1">
        <v>19450</v>
      </c>
      <c r="F48" s="6">
        <f t="shared" si="0"/>
        <v>410677618.06981522</v>
      </c>
      <c r="G48" s="6">
        <f t="shared" si="1"/>
        <v>416016640.66562665</v>
      </c>
      <c r="H48" s="6">
        <f t="shared" si="2"/>
        <v>411311053.98457587</v>
      </c>
      <c r="I48" s="6">
        <f t="shared" si="3"/>
        <v>10266940.45174538</v>
      </c>
      <c r="J48" s="6">
        <f t="shared" si="4"/>
        <v>10400416.016640667</v>
      </c>
      <c r="K48" s="6">
        <f t="shared" si="5"/>
        <v>10282776.349614397</v>
      </c>
      <c r="L48" s="6">
        <f t="shared" si="12"/>
        <v>430881491.17140853</v>
      </c>
      <c r="M48" s="6">
        <f t="shared" si="7"/>
        <v>10772037.279285213</v>
      </c>
      <c r="N48" s="6"/>
      <c r="O48" s="10">
        <f t="shared" si="8"/>
        <v>412.6684375733393</v>
      </c>
      <c r="P48" s="10">
        <f t="shared" si="9"/>
        <v>10.316710939333483</v>
      </c>
      <c r="Q48" s="10">
        <f t="shared" si="10"/>
        <v>430.88149117140853</v>
      </c>
      <c r="R48" s="10">
        <f t="shared" si="10"/>
        <v>10.772037279285213</v>
      </c>
      <c r="S48" s="6"/>
    </row>
    <row r="49" spans="1:21" x14ac:dyDescent="0.25">
      <c r="A49">
        <v>41</v>
      </c>
      <c r="B49" s="1">
        <f t="shared" si="11"/>
        <v>4100000000</v>
      </c>
      <c r="C49" s="1">
        <v>19380</v>
      </c>
      <c r="D49" s="1">
        <v>19630</v>
      </c>
      <c r="E49" s="1">
        <v>19580</v>
      </c>
      <c r="F49" s="6">
        <f t="shared" si="0"/>
        <v>423116615.06707948</v>
      </c>
      <c r="G49" s="6">
        <f t="shared" si="1"/>
        <v>417727967.39684159</v>
      </c>
      <c r="H49" s="6">
        <f t="shared" si="2"/>
        <v>418794688.45760977</v>
      </c>
      <c r="I49" s="6">
        <f t="shared" si="3"/>
        <v>10319917.440660475</v>
      </c>
      <c r="J49" s="6">
        <f t="shared" si="4"/>
        <v>10188487.009679062</v>
      </c>
      <c r="K49" s="6">
        <f t="shared" si="5"/>
        <v>10214504.596527068</v>
      </c>
      <c r="L49" s="6">
        <f t="shared" si="12"/>
        <v>435777871.75290179</v>
      </c>
      <c r="M49" s="6">
        <f t="shared" si="7"/>
        <v>10628728.579339068</v>
      </c>
      <c r="N49" s="6"/>
      <c r="O49" s="10">
        <f t="shared" si="8"/>
        <v>419.8797569738436</v>
      </c>
      <c r="P49" s="10">
        <f t="shared" si="9"/>
        <v>10.240969682288869</v>
      </c>
      <c r="Q49" s="10">
        <f t="shared" si="10"/>
        <v>435.77787175290177</v>
      </c>
      <c r="R49" s="10">
        <f t="shared" si="10"/>
        <v>10.628728579339068</v>
      </c>
      <c r="S49" s="6"/>
    </row>
    <row r="50" spans="1:21" x14ac:dyDescent="0.25">
      <c r="A50">
        <v>42</v>
      </c>
      <c r="B50" s="1">
        <f t="shared" si="11"/>
        <v>4200000000</v>
      </c>
      <c r="C50" s="1">
        <v>19620</v>
      </c>
      <c r="D50" s="1">
        <v>19700</v>
      </c>
      <c r="E50" s="1">
        <v>19780</v>
      </c>
      <c r="F50" s="6">
        <f t="shared" si="0"/>
        <v>428134556.57492357</v>
      </c>
      <c r="G50" s="6">
        <f t="shared" si="1"/>
        <v>426395939.08629441</v>
      </c>
      <c r="H50" s="6">
        <f t="shared" si="2"/>
        <v>424671385.23761374</v>
      </c>
      <c r="I50" s="6">
        <f t="shared" si="3"/>
        <v>10193679.91845056</v>
      </c>
      <c r="J50" s="6">
        <f t="shared" si="4"/>
        <v>10152284.263959391</v>
      </c>
      <c r="K50" s="6">
        <f t="shared" si="5"/>
        <v>10111223.458038423</v>
      </c>
      <c r="L50" s="6">
        <f t="shared" si="12"/>
        <v>440674252.33439505</v>
      </c>
      <c r="M50" s="6">
        <f t="shared" si="7"/>
        <v>10492244.103199882</v>
      </c>
      <c r="N50" s="6"/>
      <c r="O50" s="10">
        <f t="shared" si="8"/>
        <v>426.40062696627717</v>
      </c>
      <c r="P50" s="10">
        <f t="shared" si="9"/>
        <v>10.152395880149458</v>
      </c>
      <c r="Q50" s="10">
        <f t="shared" si="10"/>
        <v>440.67425233439508</v>
      </c>
      <c r="R50" s="10">
        <f t="shared" si="10"/>
        <v>10.492244103199882</v>
      </c>
      <c r="S50" s="6"/>
    </row>
    <row r="51" spans="1:21" x14ac:dyDescent="0.25">
      <c r="A51">
        <v>43</v>
      </c>
      <c r="B51" s="1">
        <f t="shared" si="11"/>
        <v>4300000000</v>
      </c>
      <c r="C51" s="1">
        <v>19730</v>
      </c>
      <c r="D51" s="1">
        <v>19830</v>
      </c>
      <c r="E51" s="1">
        <v>20020</v>
      </c>
      <c r="F51" s="6">
        <f t="shared" si="0"/>
        <v>435884439.93917894</v>
      </c>
      <c r="G51" s="6">
        <f t="shared" si="1"/>
        <v>433686333.83761972</v>
      </c>
      <c r="H51" s="6">
        <f t="shared" si="2"/>
        <v>429570429.57042956</v>
      </c>
      <c r="I51" s="6">
        <f t="shared" si="3"/>
        <v>10136847.440446021</v>
      </c>
      <c r="J51" s="6">
        <f t="shared" si="4"/>
        <v>10085728.693898134</v>
      </c>
      <c r="K51" s="6">
        <f t="shared" si="5"/>
        <v>9990009.9900099896</v>
      </c>
      <c r="L51" s="6">
        <f t="shared" si="12"/>
        <v>445570632.91588837</v>
      </c>
      <c r="M51" s="6">
        <f t="shared" si="7"/>
        <v>10362107.742229963</v>
      </c>
      <c r="N51" s="6"/>
      <c r="O51" s="10">
        <f t="shared" si="8"/>
        <v>433.04706778240944</v>
      </c>
      <c r="P51" s="10">
        <f t="shared" si="9"/>
        <v>10.070862041451381</v>
      </c>
      <c r="Q51" s="10">
        <f t="shared" si="10"/>
        <v>445.57063291588838</v>
      </c>
      <c r="R51" s="10">
        <f t="shared" si="10"/>
        <v>10.362107742229963</v>
      </c>
      <c r="S51" s="6"/>
    </row>
    <row r="52" spans="1:21" x14ac:dyDescent="0.25">
      <c r="A52">
        <v>44</v>
      </c>
      <c r="B52" s="1">
        <f t="shared" si="11"/>
        <v>4400000000</v>
      </c>
      <c r="C52" s="1">
        <v>20160</v>
      </c>
      <c r="D52" s="1">
        <v>20030</v>
      </c>
      <c r="E52" s="1">
        <v>20310</v>
      </c>
      <c r="F52" s="6">
        <f t="shared" si="0"/>
        <v>436507936.50793654</v>
      </c>
      <c r="G52" s="6">
        <f t="shared" si="1"/>
        <v>439340988.51722413</v>
      </c>
      <c r="H52" s="6">
        <f t="shared" si="2"/>
        <v>433284096.50418514</v>
      </c>
      <c r="I52" s="6">
        <f t="shared" si="3"/>
        <v>9920634.9206349216</v>
      </c>
      <c r="J52" s="6">
        <f t="shared" si="4"/>
        <v>9985022.466300549</v>
      </c>
      <c r="K52" s="6">
        <f t="shared" si="5"/>
        <v>9847365.829640571</v>
      </c>
      <c r="L52" s="6">
        <f t="shared" si="12"/>
        <v>450467013.49738163</v>
      </c>
      <c r="M52" s="6">
        <f t="shared" si="7"/>
        <v>10237886.670395037</v>
      </c>
      <c r="N52" s="6"/>
      <c r="O52" s="10">
        <f t="shared" si="8"/>
        <v>436.37767384311525</v>
      </c>
      <c r="P52" s="10">
        <f t="shared" si="9"/>
        <v>9.9176744055253465</v>
      </c>
      <c r="Q52" s="10">
        <f t="shared" si="10"/>
        <v>450.46701349738163</v>
      </c>
      <c r="R52" s="10">
        <f t="shared" si="10"/>
        <v>10.237886670395037</v>
      </c>
      <c r="S52" s="6"/>
    </row>
    <row r="53" spans="1:21" x14ac:dyDescent="0.25">
      <c r="A53">
        <v>45</v>
      </c>
      <c r="B53" s="1">
        <f t="shared" si="11"/>
        <v>4500000000</v>
      </c>
      <c r="C53" s="1">
        <v>21490</v>
      </c>
      <c r="D53" s="1">
        <v>20140</v>
      </c>
      <c r="E53" s="1">
        <v>20290</v>
      </c>
      <c r="F53" s="6">
        <f t="shared" si="0"/>
        <v>418799441.60074455</v>
      </c>
      <c r="G53" s="6">
        <f t="shared" si="1"/>
        <v>446871896.72293943</v>
      </c>
      <c r="H53" s="6">
        <f t="shared" si="2"/>
        <v>443568260.2267127</v>
      </c>
      <c r="I53" s="6">
        <f t="shared" si="3"/>
        <v>9306654.2577943224</v>
      </c>
      <c r="J53" s="6">
        <f t="shared" si="4"/>
        <v>9930486.5938430987</v>
      </c>
      <c r="K53" s="6">
        <f t="shared" si="5"/>
        <v>9857072.4494825043</v>
      </c>
      <c r="L53" s="6">
        <f t="shared" si="12"/>
        <v>455363394.07887495</v>
      </c>
      <c r="M53" s="6">
        <f t="shared" si="7"/>
        <v>10119186.53508611</v>
      </c>
      <c r="N53" s="6"/>
      <c r="O53" s="10">
        <f t="shared" si="8"/>
        <v>436.4131995167989</v>
      </c>
      <c r="P53" s="10">
        <f t="shared" si="9"/>
        <v>9.6980711003733084</v>
      </c>
      <c r="Q53" s="10">
        <f t="shared" si="10"/>
        <v>455.36339407887493</v>
      </c>
      <c r="R53" s="10">
        <f t="shared" si="10"/>
        <v>10.11918653508611</v>
      </c>
      <c r="S53" s="6"/>
    </row>
    <row r="54" spans="1:21" x14ac:dyDescent="0.25">
      <c r="A54">
        <v>46</v>
      </c>
      <c r="B54" s="1">
        <f t="shared" si="11"/>
        <v>4600000000</v>
      </c>
      <c r="C54" s="1">
        <v>20660</v>
      </c>
      <c r="D54" s="1">
        <v>20500</v>
      </c>
      <c r="E54" s="1">
        <v>20750</v>
      </c>
      <c r="F54" s="6">
        <f t="shared" si="0"/>
        <v>445304937.07647628</v>
      </c>
      <c r="G54" s="6">
        <f t="shared" si="1"/>
        <v>448780487.80487806</v>
      </c>
      <c r="H54" s="6">
        <f t="shared" si="2"/>
        <v>443373493.97590363</v>
      </c>
      <c r="I54" s="6">
        <f t="shared" si="3"/>
        <v>9680542.1103581805</v>
      </c>
      <c r="J54" s="6">
        <f t="shared" si="4"/>
        <v>9756097.5609756093</v>
      </c>
      <c r="K54" s="6">
        <f t="shared" si="5"/>
        <v>9638554.2168674711</v>
      </c>
      <c r="L54" s="6">
        <f t="shared" si="12"/>
        <v>460259774.6603682</v>
      </c>
      <c r="M54" s="6">
        <f t="shared" si="7"/>
        <v>10005647.275225395</v>
      </c>
      <c r="N54" s="6"/>
      <c r="O54" s="10">
        <f t="shared" si="8"/>
        <v>445.81963961908599</v>
      </c>
      <c r="P54" s="10">
        <f t="shared" si="9"/>
        <v>9.6917312960670863</v>
      </c>
      <c r="Q54" s="10">
        <f t="shared" si="10"/>
        <v>460.25977466036818</v>
      </c>
      <c r="R54" s="10">
        <f t="shared" si="10"/>
        <v>10.005647275225396</v>
      </c>
      <c r="S54" s="6"/>
    </row>
    <row r="55" spans="1:21" x14ac:dyDescent="0.25">
      <c r="A55">
        <v>47</v>
      </c>
      <c r="B55" s="1">
        <f t="shared" si="11"/>
        <v>4700000000</v>
      </c>
      <c r="C55" s="1">
        <v>20690</v>
      </c>
      <c r="D55" s="1">
        <v>20730</v>
      </c>
      <c r="E55" s="1">
        <v>21230</v>
      </c>
      <c r="F55" s="6">
        <f t="shared" si="0"/>
        <v>454325761.23731267</v>
      </c>
      <c r="G55" s="6">
        <f t="shared" si="1"/>
        <v>453449107.57356489</v>
      </c>
      <c r="H55" s="6">
        <f t="shared" si="2"/>
        <v>442769665.56759304</v>
      </c>
      <c r="I55" s="6">
        <f t="shared" si="3"/>
        <v>9666505.5582406949</v>
      </c>
      <c r="J55" s="6">
        <f t="shared" si="4"/>
        <v>9647853.3526290394</v>
      </c>
      <c r="K55" s="6">
        <f t="shared" si="5"/>
        <v>9420631.1822892129</v>
      </c>
      <c r="L55" s="6">
        <f t="shared" si="12"/>
        <v>465156155.24186146</v>
      </c>
      <c r="M55" s="6">
        <f t="shared" si="7"/>
        <v>9896939.4732310958</v>
      </c>
      <c r="N55" s="6"/>
      <c r="O55" s="10">
        <f t="shared" si="8"/>
        <v>450.18151145949025</v>
      </c>
      <c r="P55" s="10">
        <f t="shared" si="9"/>
        <v>9.5783300310529818</v>
      </c>
      <c r="Q55" s="10">
        <f t="shared" si="10"/>
        <v>465.15615524186148</v>
      </c>
      <c r="R55" s="10">
        <f t="shared" si="10"/>
        <v>9.8969394732310967</v>
      </c>
      <c r="S55" s="6"/>
    </row>
    <row r="56" spans="1:21" x14ac:dyDescent="0.25">
      <c r="A56">
        <v>48</v>
      </c>
      <c r="B56" s="1">
        <f t="shared" si="11"/>
        <v>4800000000</v>
      </c>
      <c r="C56" s="1">
        <v>21140</v>
      </c>
      <c r="D56" s="1">
        <v>21060</v>
      </c>
      <c r="E56" s="1">
        <v>21530</v>
      </c>
      <c r="F56" s="6">
        <f t="shared" si="0"/>
        <v>454115421.00283825</v>
      </c>
      <c r="G56" s="6">
        <f t="shared" si="1"/>
        <v>455840455.84045583</v>
      </c>
      <c r="H56" s="6">
        <f t="shared" si="2"/>
        <v>445889456.5722248</v>
      </c>
      <c r="I56" s="6">
        <f t="shared" si="3"/>
        <v>9460737.9375591297</v>
      </c>
      <c r="J56" s="6">
        <f t="shared" si="4"/>
        <v>9496676.1633428298</v>
      </c>
      <c r="K56" s="6">
        <f t="shared" si="5"/>
        <v>9289363.678588016</v>
      </c>
      <c r="L56" s="6">
        <f t="shared" si="12"/>
        <v>470052535.82335472</v>
      </c>
      <c r="M56" s="6">
        <f t="shared" si="7"/>
        <v>9792761.1629865561</v>
      </c>
      <c r="N56" s="6"/>
      <c r="O56" s="10">
        <f t="shared" si="8"/>
        <v>451.94844447183965</v>
      </c>
      <c r="P56" s="10">
        <f t="shared" si="9"/>
        <v>9.4155925931633266</v>
      </c>
      <c r="Q56" s="10">
        <f t="shared" si="10"/>
        <v>470.05253582335473</v>
      </c>
      <c r="R56" s="10">
        <f t="shared" si="10"/>
        <v>9.7927611629865563</v>
      </c>
      <c r="S56" s="6"/>
    </row>
    <row r="57" spans="1:21" x14ac:dyDescent="0.25">
      <c r="A57">
        <v>49</v>
      </c>
      <c r="B57" s="1">
        <f t="shared" si="11"/>
        <v>4900000000</v>
      </c>
      <c r="C57" s="1">
        <v>21570</v>
      </c>
      <c r="D57" s="1">
        <v>21730</v>
      </c>
      <c r="E57" s="1">
        <v>21680</v>
      </c>
      <c r="F57" s="6">
        <f t="shared" si="0"/>
        <v>454334724.15391743</v>
      </c>
      <c r="G57" s="6">
        <f t="shared" si="1"/>
        <v>450989415.55453289</v>
      </c>
      <c r="H57" s="6">
        <f t="shared" si="2"/>
        <v>452029520.29520297</v>
      </c>
      <c r="I57" s="6">
        <f t="shared" si="3"/>
        <v>9272137.2276309673</v>
      </c>
      <c r="J57" s="6">
        <f t="shared" si="4"/>
        <v>9203865.6235618964</v>
      </c>
      <c r="K57" s="6">
        <f t="shared" si="5"/>
        <v>9225092.2509225104</v>
      </c>
      <c r="L57" s="6">
        <f t="shared" si="12"/>
        <v>474948916.40484804</v>
      </c>
      <c r="M57" s="6">
        <f t="shared" si="7"/>
        <v>9692835.0286703687</v>
      </c>
      <c r="N57" s="6"/>
      <c r="O57" s="10">
        <f t="shared" si="8"/>
        <v>452.45122000121779</v>
      </c>
      <c r="P57" s="10">
        <f t="shared" si="9"/>
        <v>9.2336983673717903</v>
      </c>
      <c r="Q57" s="10">
        <f t="shared" si="10"/>
        <v>474.94891640484803</v>
      </c>
      <c r="R57" s="10">
        <f t="shared" si="10"/>
        <v>9.6928350286703679</v>
      </c>
      <c r="S57" s="6"/>
    </row>
    <row r="58" spans="1:21" x14ac:dyDescent="0.25">
      <c r="A58">
        <v>50</v>
      </c>
      <c r="B58" s="1">
        <f t="shared" si="11"/>
        <v>5000000000</v>
      </c>
      <c r="C58" s="1">
        <v>30100</v>
      </c>
      <c r="D58" s="1">
        <v>21920</v>
      </c>
      <c r="E58" s="1">
        <v>21900</v>
      </c>
      <c r="F58" s="6">
        <f t="shared" si="0"/>
        <v>332225913.62126249</v>
      </c>
      <c r="G58" s="6">
        <f t="shared" si="1"/>
        <v>456204379.56204385</v>
      </c>
      <c r="H58" s="6">
        <f t="shared" si="2"/>
        <v>456621004.56621003</v>
      </c>
      <c r="I58" s="6">
        <f t="shared" si="3"/>
        <v>6644518.2724252502</v>
      </c>
      <c r="J58" s="6">
        <f t="shared" si="4"/>
        <v>9124087.5912408773</v>
      </c>
      <c r="K58" s="6">
        <f t="shared" si="5"/>
        <v>9132420.0913242009</v>
      </c>
      <c r="L58" s="6">
        <f t="shared" si="12"/>
        <v>479845296.9863413</v>
      </c>
      <c r="M58" s="6">
        <f t="shared" si="7"/>
        <v>9596905.9397268258</v>
      </c>
      <c r="N58" s="6"/>
      <c r="O58" s="10">
        <f t="shared" si="8"/>
        <v>415.01709924983885</v>
      </c>
      <c r="P58" s="10">
        <f t="shared" si="9"/>
        <v>8.3003419849967752</v>
      </c>
      <c r="Q58" s="10">
        <f t="shared" si="10"/>
        <v>479.84529698634128</v>
      </c>
      <c r="R58" s="10">
        <f t="shared" si="10"/>
        <v>9.5969059397268257</v>
      </c>
      <c r="S58" s="6"/>
    </row>
    <row r="59" spans="1:21" x14ac:dyDescent="0.25">
      <c r="A59">
        <v>51</v>
      </c>
      <c r="B59" s="1">
        <f t="shared" si="11"/>
        <v>5100000000</v>
      </c>
      <c r="C59" s="1">
        <v>21630</v>
      </c>
      <c r="D59" s="1">
        <v>21630</v>
      </c>
      <c r="E59" s="1">
        <v>21960</v>
      </c>
      <c r="F59" s="6">
        <f t="shared" si="0"/>
        <v>471567267.68377256</v>
      </c>
      <c r="G59" s="6">
        <f t="shared" si="1"/>
        <v>471567267.68377256</v>
      </c>
      <c r="H59" s="6">
        <f t="shared" si="2"/>
        <v>464480874.31693989</v>
      </c>
      <c r="I59" s="6">
        <f t="shared" si="3"/>
        <v>9246417.0134073049</v>
      </c>
      <c r="J59" s="6">
        <f t="shared" si="4"/>
        <v>9246417.0134073049</v>
      </c>
      <c r="K59" s="6">
        <f t="shared" si="5"/>
        <v>9107468.1238615662</v>
      </c>
      <c r="L59" s="6">
        <f t="shared" si="12"/>
        <v>484741677.56783462</v>
      </c>
      <c r="M59" s="6">
        <f t="shared" si="7"/>
        <v>9504738.775839895</v>
      </c>
      <c r="N59" s="6"/>
      <c r="O59" s="10">
        <f t="shared" si="8"/>
        <v>469.20513656149501</v>
      </c>
      <c r="P59" s="10">
        <f t="shared" si="9"/>
        <v>9.2001007168920577</v>
      </c>
      <c r="Q59" s="10">
        <f t="shared" si="10"/>
        <v>484.74167756783464</v>
      </c>
      <c r="R59" s="10">
        <f t="shared" si="10"/>
        <v>9.5047387758398951</v>
      </c>
      <c r="S59" s="6"/>
    </row>
    <row r="60" spans="1:21" x14ac:dyDescent="0.25">
      <c r="A60">
        <v>52</v>
      </c>
      <c r="B60" s="1">
        <f t="shared" si="11"/>
        <v>5200000000</v>
      </c>
      <c r="C60" s="1">
        <v>27640</v>
      </c>
      <c r="D60" s="1">
        <v>28440</v>
      </c>
      <c r="E60" s="1">
        <v>27580</v>
      </c>
      <c r="F60" s="6">
        <f t="shared" si="0"/>
        <v>376266280.75253254</v>
      </c>
      <c r="G60" s="6">
        <f t="shared" si="1"/>
        <v>365682137.83403653</v>
      </c>
      <c r="H60" s="6">
        <f t="shared" si="2"/>
        <v>377084844.08992022</v>
      </c>
      <c r="I60" s="6">
        <f t="shared" si="3"/>
        <v>7235890.0144717796</v>
      </c>
      <c r="J60" s="6">
        <f t="shared" si="4"/>
        <v>7032348.8045007028</v>
      </c>
      <c r="K60" s="6">
        <f t="shared" si="5"/>
        <v>7251631.6171138501</v>
      </c>
      <c r="L60" s="6">
        <f t="shared" si="12"/>
        <v>489638058.14932787</v>
      </c>
      <c r="M60" s="6">
        <f t="shared" si="7"/>
        <v>9416116.5028716903</v>
      </c>
      <c r="N60" s="6"/>
      <c r="O60" s="10">
        <f t="shared" si="8"/>
        <v>373.01108755882979</v>
      </c>
      <c r="P60" s="10">
        <f t="shared" si="9"/>
        <v>7.1732901453621114</v>
      </c>
      <c r="Q60" s="10">
        <f t="shared" si="10"/>
        <v>489.63805814932789</v>
      </c>
      <c r="R60" s="10">
        <f t="shared" si="10"/>
        <v>9.4161165028716898</v>
      </c>
      <c r="S60" s="6"/>
      <c r="U60" t="s">
        <v>10</v>
      </c>
    </row>
    <row r="61" spans="1:21" x14ac:dyDescent="0.25">
      <c r="A61">
        <v>53</v>
      </c>
      <c r="B61" s="1">
        <f t="shared" si="11"/>
        <v>5300000000</v>
      </c>
      <c r="C61" s="1">
        <v>22210</v>
      </c>
      <c r="D61" s="1">
        <v>28110</v>
      </c>
      <c r="E61" s="1">
        <v>22260</v>
      </c>
      <c r="F61" s="6">
        <f t="shared" si="0"/>
        <v>477262494.37190455</v>
      </c>
      <c r="G61" s="6">
        <f t="shared" si="1"/>
        <v>377090003.55745286</v>
      </c>
      <c r="H61" s="6">
        <f t="shared" si="2"/>
        <v>476190476.19047624</v>
      </c>
      <c r="I61" s="6">
        <f t="shared" si="3"/>
        <v>9004952.7239981983</v>
      </c>
      <c r="J61" s="6">
        <f t="shared" si="4"/>
        <v>7114905.7274991106</v>
      </c>
      <c r="K61" s="6">
        <f t="shared" si="5"/>
        <v>8984725.9658580422</v>
      </c>
      <c r="L61" s="6">
        <f t="shared" si="12"/>
        <v>494534438.73082113</v>
      </c>
      <c r="M61" s="6">
        <f t="shared" si="7"/>
        <v>9330838.4666192662</v>
      </c>
      <c r="N61" s="6"/>
      <c r="O61" s="10">
        <f t="shared" si="8"/>
        <v>443.51432470661121</v>
      </c>
      <c r="P61" s="10">
        <f t="shared" si="9"/>
        <v>8.3681948057851159</v>
      </c>
      <c r="Q61" s="10">
        <f t="shared" si="10"/>
        <v>494.53443873082114</v>
      </c>
      <c r="R61" s="10">
        <f t="shared" si="10"/>
        <v>9.3308384666192659</v>
      </c>
      <c r="S61" s="6"/>
    </row>
    <row r="62" spans="1:21" x14ac:dyDescent="0.25">
      <c r="A62">
        <v>54</v>
      </c>
      <c r="B62" s="1">
        <f t="shared" si="11"/>
        <v>5400000000</v>
      </c>
      <c r="C62" s="1">
        <v>22370</v>
      </c>
      <c r="D62" s="1">
        <v>22190</v>
      </c>
      <c r="E62" s="1">
        <v>22190</v>
      </c>
      <c r="F62" s="6">
        <f t="shared" si="0"/>
        <v>482789450.15645951</v>
      </c>
      <c r="G62" s="6">
        <f t="shared" si="1"/>
        <v>486705723.29878324</v>
      </c>
      <c r="H62" s="6">
        <f t="shared" si="2"/>
        <v>486705723.29878324</v>
      </c>
      <c r="I62" s="6">
        <f t="shared" si="3"/>
        <v>8940545.373267768</v>
      </c>
      <c r="J62" s="6">
        <f t="shared" si="4"/>
        <v>9013068.9499774668</v>
      </c>
      <c r="K62" s="6">
        <f t="shared" si="5"/>
        <v>9013068.9499774668</v>
      </c>
      <c r="L62" s="6">
        <f t="shared" si="12"/>
        <v>499430819.31231445</v>
      </c>
      <c r="M62" s="6">
        <f t="shared" si="7"/>
        <v>9248718.876153972</v>
      </c>
      <c r="N62" s="6"/>
      <c r="O62" s="10">
        <f t="shared" si="8"/>
        <v>485.40029891800862</v>
      </c>
      <c r="P62" s="10">
        <f t="shared" si="9"/>
        <v>8.9888944244075653</v>
      </c>
      <c r="Q62" s="10">
        <f t="shared" si="10"/>
        <v>499.43081931231444</v>
      </c>
      <c r="R62" s="10">
        <f t="shared" si="10"/>
        <v>9.2487188761539727</v>
      </c>
      <c r="S62" s="6"/>
      <c r="U62" t="s">
        <v>9</v>
      </c>
    </row>
    <row r="63" spans="1:21" x14ac:dyDescent="0.25">
      <c r="A63">
        <v>55</v>
      </c>
      <c r="B63" s="1">
        <f t="shared" si="11"/>
        <v>5500000000</v>
      </c>
      <c r="C63" s="1">
        <v>29240</v>
      </c>
      <c r="D63" s="1">
        <v>22750</v>
      </c>
      <c r="E63" s="1">
        <v>22850</v>
      </c>
      <c r="F63" s="6">
        <f t="shared" si="0"/>
        <v>376196990.42407662</v>
      </c>
      <c r="G63" s="6">
        <f t="shared" si="1"/>
        <v>483516483.51648349</v>
      </c>
      <c r="H63" s="6">
        <f t="shared" si="2"/>
        <v>481400437.63676149</v>
      </c>
      <c r="I63" s="6">
        <f t="shared" si="3"/>
        <v>6839945.2804377563</v>
      </c>
      <c r="J63" s="6">
        <f t="shared" si="4"/>
        <v>8791208.7912087906</v>
      </c>
      <c r="K63" s="6">
        <f t="shared" si="5"/>
        <v>8752735.2297593001</v>
      </c>
      <c r="L63" s="6">
        <f t="shared" si="12"/>
        <v>504327199.89380771</v>
      </c>
      <c r="M63" s="6">
        <f t="shared" si="7"/>
        <v>9169585.4526146855</v>
      </c>
      <c r="N63" s="6"/>
      <c r="O63" s="10">
        <f t="shared" si="8"/>
        <v>447.0379705257738</v>
      </c>
      <c r="P63" s="10">
        <f t="shared" si="9"/>
        <v>8.1279631004686159</v>
      </c>
      <c r="Q63" s="10">
        <f t="shared" si="10"/>
        <v>504.32719989380769</v>
      </c>
      <c r="R63" s="10">
        <f t="shared" si="10"/>
        <v>9.1695854526146849</v>
      </c>
      <c r="S63" s="6"/>
    </row>
    <row r="64" spans="1:21" x14ac:dyDescent="0.25">
      <c r="A64">
        <v>56</v>
      </c>
      <c r="B64" s="1">
        <f t="shared" si="11"/>
        <v>5600000000</v>
      </c>
      <c r="C64" s="1">
        <v>29330</v>
      </c>
      <c r="D64" s="1">
        <v>22740</v>
      </c>
      <c r="E64" s="1">
        <v>22570</v>
      </c>
      <c r="F64" s="6">
        <f t="shared" si="0"/>
        <v>381861575.17899758</v>
      </c>
      <c r="G64" s="6">
        <f t="shared" si="1"/>
        <v>492524186.45558488</v>
      </c>
      <c r="H64" s="6">
        <f t="shared" si="2"/>
        <v>496233938.85688967</v>
      </c>
      <c r="I64" s="6">
        <f t="shared" si="3"/>
        <v>6818956.6996249566</v>
      </c>
      <c r="J64" s="6">
        <f t="shared" si="4"/>
        <v>8795074.7581354436</v>
      </c>
      <c r="K64" s="6">
        <f t="shared" si="5"/>
        <v>8861320.3367301729</v>
      </c>
      <c r="L64" s="6">
        <f t="shared" si="12"/>
        <v>509223580.47530097</v>
      </c>
      <c r="M64" s="6">
        <f t="shared" si="7"/>
        <v>9093278.2227732316</v>
      </c>
      <c r="N64" s="6"/>
      <c r="O64" s="10">
        <f t="shared" si="8"/>
        <v>456.8732334971574</v>
      </c>
      <c r="P64" s="10">
        <f t="shared" si="9"/>
        <v>8.158450598163526</v>
      </c>
      <c r="Q64" s="10">
        <f t="shared" si="10"/>
        <v>509.22358047530099</v>
      </c>
      <c r="R64" s="10">
        <f t="shared" si="10"/>
        <v>9.0932782227732307</v>
      </c>
      <c r="S64" s="6"/>
    </row>
    <row r="65" spans="1:19" x14ac:dyDescent="0.25">
      <c r="A65">
        <v>57</v>
      </c>
      <c r="B65" s="1">
        <f t="shared" si="11"/>
        <v>5700000000</v>
      </c>
      <c r="C65" s="1">
        <v>27110</v>
      </c>
      <c r="D65" s="1">
        <v>33460</v>
      </c>
      <c r="E65" s="1">
        <v>22980</v>
      </c>
      <c r="F65" s="6">
        <f t="shared" si="0"/>
        <v>420509037.25562525</v>
      </c>
      <c r="G65" s="6">
        <f t="shared" si="1"/>
        <v>340705319.7848177</v>
      </c>
      <c r="H65" s="6">
        <f t="shared" si="2"/>
        <v>496083550.91383815</v>
      </c>
      <c r="I65" s="6">
        <f t="shared" si="3"/>
        <v>7377351.5308004431</v>
      </c>
      <c r="J65" s="6">
        <f t="shared" si="4"/>
        <v>5977286.3120143451</v>
      </c>
      <c r="K65" s="6">
        <f t="shared" si="5"/>
        <v>8703220.1914708447</v>
      </c>
      <c r="L65" s="6">
        <f t="shared" si="12"/>
        <v>514119961.05679429</v>
      </c>
      <c r="M65" s="6">
        <f t="shared" si="7"/>
        <v>9019648.439592883</v>
      </c>
      <c r="N65" s="6"/>
      <c r="O65" s="10">
        <f t="shared" si="8"/>
        <v>419.09930265142702</v>
      </c>
      <c r="P65" s="10">
        <f t="shared" si="9"/>
        <v>7.3526193447618784</v>
      </c>
      <c r="Q65" s="10">
        <f t="shared" si="10"/>
        <v>514.1199610567943</v>
      </c>
      <c r="R65" s="10">
        <f t="shared" si="10"/>
        <v>9.0196484395928831</v>
      </c>
      <c r="S65" s="6"/>
    </row>
    <row r="66" spans="1:19" x14ac:dyDescent="0.25">
      <c r="A66">
        <v>58</v>
      </c>
      <c r="B66" s="1">
        <f t="shared" si="11"/>
        <v>5800000000</v>
      </c>
      <c r="C66" s="1">
        <v>23790</v>
      </c>
      <c r="D66" s="1">
        <v>23170</v>
      </c>
      <c r="E66" s="1">
        <v>23420</v>
      </c>
      <c r="F66" s="6">
        <f t="shared" si="0"/>
        <v>487599831.86212695</v>
      </c>
      <c r="G66" s="6">
        <f t="shared" si="1"/>
        <v>500647388.8649115</v>
      </c>
      <c r="H66" s="6">
        <f t="shared" si="2"/>
        <v>495303159.69257045</v>
      </c>
      <c r="I66" s="6">
        <f t="shared" si="3"/>
        <v>8406893.6527952924</v>
      </c>
      <c r="J66" s="6">
        <f t="shared" si="4"/>
        <v>8631851.5321536474</v>
      </c>
      <c r="K66" s="6">
        <f t="shared" si="5"/>
        <v>8539709.6498719044</v>
      </c>
      <c r="L66" s="6">
        <f t="shared" si="12"/>
        <v>519016341.63828754</v>
      </c>
      <c r="M66" s="6">
        <f t="shared" si="7"/>
        <v>8948557.6144532338</v>
      </c>
      <c r="N66" s="6"/>
      <c r="O66" s="10">
        <f t="shared" si="8"/>
        <v>494.51679347320294</v>
      </c>
      <c r="P66" s="10">
        <f t="shared" si="9"/>
        <v>8.5261516116069487</v>
      </c>
      <c r="Q66" s="10">
        <f t="shared" si="10"/>
        <v>519.0163416382876</v>
      </c>
      <c r="R66" s="10">
        <f t="shared" si="10"/>
        <v>8.9485576144532342</v>
      </c>
      <c r="S66" s="6"/>
    </row>
    <row r="67" spans="1:19" x14ac:dyDescent="0.25">
      <c r="A67">
        <v>59</v>
      </c>
      <c r="B67" s="1">
        <f t="shared" si="11"/>
        <v>5900000000</v>
      </c>
      <c r="C67" s="1">
        <v>23820</v>
      </c>
      <c r="D67" s="1">
        <v>28800</v>
      </c>
      <c r="E67" s="1">
        <v>23660</v>
      </c>
      <c r="F67" s="6">
        <f t="shared" si="0"/>
        <v>495382031.90596139</v>
      </c>
      <c r="G67" s="6">
        <f t="shared" si="1"/>
        <v>409722222.22222227</v>
      </c>
      <c r="H67" s="6">
        <f t="shared" si="2"/>
        <v>498732037.19357562</v>
      </c>
      <c r="I67" s="6">
        <f t="shared" si="3"/>
        <v>8396305.6255247686</v>
      </c>
      <c r="J67" s="6">
        <f t="shared" si="4"/>
        <v>6944444.444444445</v>
      </c>
      <c r="K67" s="6">
        <f t="shared" si="5"/>
        <v>8453085.376162298</v>
      </c>
      <c r="L67" s="6">
        <f t="shared" si="12"/>
        <v>523912722.2197808</v>
      </c>
      <c r="M67" s="6">
        <f t="shared" si="7"/>
        <v>8879876.6477928944</v>
      </c>
      <c r="N67" s="6"/>
      <c r="O67" s="10">
        <f t="shared" si="8"/>
        <v>467.94543044058639</v>
      </c>
      <c r="P67" s="10">
        <f t="shared" si="9"/>
        <v>7.9312784820438376</v>
      </c>
      <c r="Q67" s="10">
        <f t="shared" si="10"/>
        <v>523.91272221978079</v>
      </c>
      <c r="R67" s="10">
        <f t="shared" si="10"/>
        <v>8.8798766477928943</v>
      </c>
      <c r="S67" s="6"/>
    </row>
    <row r="68" spans="1:19" x14ac:dyDescent="0.25">
      <c r="A68">
        <v>60</v>
      </c>
      <c r="B68" s="1">
        <f t="shared" si="11"/>
        <v>6000000000</v>
      </c>
      <c r="C68" s="1">
        <v>23910</v>
      </c>
      <c r="D68" s="1">
        <v>28580</v>
      </c>
      <c r="E68" s="1">
        <v>23520</v>
      </c>
      <c r="F68" s="6">
        <f t="shared" si="0"/>
        <v>501882057.71643662</v>
      </c>
      <c r="G68" s="6">
        <f t="shared" si="1"/>
        <v>419874037.78866339</v>
      </c>
      <c r="H68" s="6">
        <f t="shared" si="2"/>
        <v>510204081.63265306</v>
      </c>
      <c r="I68" s="6">
        <f t="shared" si="3"/>
        <v>8364700.9619406108</v>
      </c>
      <c r="J68" s="6">
        <f t="shared" si="4"/>
        <v>6997900.6298110569</v>
      </c>
      <c r="K68" s="6">
        <f t="shared" si="5"/>
        <v>8503401.3605442178</v>
      </c>
      <c r="L68" s="6">
        <f t="shared" si="12"/>
        <v>528809102.80127406</v>
      </c>
      <c r="M68" s="6">
        <f t="shared" si="7"/>
        <v>8813485.046687901</v>
      </c>
      <c r="N68" s="6"/>
      <c r="O68" s="10">
        <f t="shared" si="8"/>
        <v>477.32005904591767</v>
      </c>
      <c r="P68" s="10">
        <f t="shared" si="9"/>
        <v>7.9553343174319613</v>
      </c>
      <c r="Q68" s="10">
        <f t="shared" si="10"/>
        <v>528.80910280127409</v>
      </c>
      <c r="R68" s="10">
        <f t="shared" si="10"/>
        <v>8.8134850466879016</v>
      </c>
      <c r="S68" s="6"/>
    </row>
    <row r="69" spans="1:19" x14ac:dyDescent="0.25">
      <c r="A69">
        <v>61</v>
      </c>
      <c r="B69" s="1">
        <f t="shared" si="11"/>
        <v>6100000000</v>
      </c>
      <c r="C69" s="1">
        <v>24570</v>
      </c>
      <c r="D69" s="1">
        <v>23780</v>
      </c>
      <c r="E69" s="1">
        <v>24090</v>
      </c>
      <c r="F69" s="6">
        <f t="shared" si="0"/>
        <v>496540496.54049653</v>
      </c>
      <c r="G69" s="6">
        <f t="shared" si="1"/>
        <v>513036164.84440708</v>
      </c>
      <c r="H69" s="6">
        <f t="shared" si="2"/>
        <v>506434205.06434208</v>
      </c>
      <c r="I69" s="6">
        <f t="shared" si="3"/>
        <v>8140008.1400081394</v>
      </c>
      <c r="J69" s="6">
        <f t="shared" si="4"/>
        <v>8410428.931875525</v>
      </c>
      <c r="K69" s="6">
        <f t="shared" si="5"/>
        <v>8302200.0830220012</v>
      </c>
      <c r="L69" s="6">
        <f t="shared" si="12"/>
        <v>533705483.38276732</v>
      </c>
      <c r="M69" s="6">
        <f t="shared" si="7"/>
        <v>8749270.2193896286</v>
      </c>
      <c r="N69" s="6"/>
      <c r="O69" s="10">
        <f t="shared" si="8"/>
        <v>505.33695548308185</v>
      </c>
      <c r="P69" s="10">
        <f t="shared" si="9"/>
        <v>8.2842123849685549</v>
      </c>
      <c r="Q69" s="10">
        <f t="shared" si="10"/>
        <v>533.70548338276728</v>
      </c>
      <c r="R69" s="10">
        <f t="shared" si="10"/>
        <v>8.7492702193896292</v>
      </c>
      <c r="S69" s="6"/>
    </row>
    <row r="70" spans="1:19" x14ac:dyDescent="0.25">
      <c r="A70">
        <v>62</v>
      </c>
      <c r="B70" s="1">
        <f t="shared" si="11"/>
        <v>6200000000</v>
      </c>
      <c r="C70" s="1">
        <v>30360</v>
      </c>
      <c r="D70" s="1">
        <v>24100</v>
      </c>
      <c r="E70" s="1">
        <v>23760</v>
      </c>
      <c r="F70" s="6">
        <f t="shared" si="0"/>
        <v>408432147.56258231</v>
      </c>
      <c r="G70" s="6">
        <f t="shared" si="1"/>
        <v>514522821.57676345</v>
      </c>
      <c r="H70" s="6">
        <f t="shared" si="2"/>
        <v>521885521.88552189</v>
      </c>
      <c r="I70" s="6">
        <f t="shared" si="3"/>
        <v>6587615.283267457</v>
      </c>
      <c r="J70" s="6">
        <f t="shared" si="4"/>
        <v>8298755.1867219908</v>
      </c>
      <c r="K70" s="6">
        <f t="shared" si="5"/>
        <v>8417508.4175084177</v>
      </c>
      <c r="L70" s="6">
        <f t="shared" si="12"/>
        <v>538601863.96426058</v>
      </c>
      <c r="M70" s="6">
        <f t="shared" si="7"/>
        <v>8687126.8381332345</v>
      </c>
      <c r="N70" s="6"/>
      <c r="O70" s="10">
        <f t="shared" si="8"/>
        <v>481.61349700828913</v>
      </c>
      <c r="P70" s="10">
        <f t="shared" si="9"/>
        <v>7.7679596291659552</v>
      </c>
      <c r="Q70" s="10">
        <f t="shared" si="10"/>
        <v>538.60186396426059</v>
      </c>
      <c r="R70" s="10">
        <f t="shared" si="10"/>
        <v>8.6871268381332349</v>
      </c>
      <c r="S70" s="6"/>
    </row>
    <row r="71" spans="1:19" x14ac:dyDescent="0.25">
      <c r="A71">
        <v>63</v>
      </c>
      <c r="B71" s="1">
        <f t="shared" si="11"/>
        <v>6300000000</v>
      </c>
      <c r="C71" s="1">
        <v>24650</v>
      </c>
      <c r="D71" s="1">
        <v>24740</v>
      </c>
      <c r="E71" s="1">
        <v>24300</v>
      </c>
      <c r="F71" s="6">
        <f t="shared" si="0"/>
        <v>511156186.61257607</v>
      </c>
      <c r="G71" s="6">
        <f t="shared" si="1"/>
        <v>509296685.52950686</v>
      </c>
      <c r="H71" s="6">
        <f t="shared" si="2"/>
        <v>518518518.51851857</v>
      </c>
      <c r="I71" s="6">
        <f t="shared" si="3"/>
        <v>8113590.2636916833</v>
      </c>
      <c r="J71" s="6">
        <f t="shared" si="4"/>
        <v>8084074.3734842362</v>
      </c>
      <c r="K71" s="6">
        <f t="shared" si="5"/>
        <v>8230452.6748971203</v>
      </c>
      <c r="L71" s="6">
        <f t="shared" si="12"/>
        <v>543498244.54575396</v>
      </c>
      <c r="M71" s="6">
        <f t="shared" si="7"/>
        <v>8626956.2626310159</v>
      </c>
      <c r="N71" s="6"/>
      <c r="O71" s="10">
        <f t="shared" si="8"/>
        <v>512.9904635535338</v>
      </c>
      <c r="P71" s="10">
        <f t="shared" si="9"/>
        <v>8.1427057706910144</v>
      </c>
      <c r="Q71" s="10">
        <f t="shared" si="10"/>
        <v>543.49824454575401</v>
      </c>
      <c r="R71" s="10">
        <f t="shared" si="10"/>
        <v>8.6269562626310154</v>
      </c>
      <c r="S71" s="6"/>
    </row>
    <row r="72" spans="1:19" x14ac:dyDescent="0.25">
      <c r="A72">
        <v>64</v>
      </c>
      <c r="B72" s="1">
        <f t="shared" si="11"/>
        <v>6400000000</v>
      </c>
      <c r="C72" s="1">
        <v>25350</v>
      </c>
      <c r="D72" s="1">
        <v>24530</v>
      </c>
      <c r="E72" s="1">
        <v>30470</v>
      </c>
      <c r="F72" s="6">
        <f t="shared" si="0"/>
        <v>504930966.46942806</v>
      </c>
      <c r="G72" s="6">
        <f t="shared" si="1"/>
        <v>521810028.53648591</v>
      </c>
      <c r="H72" s="6">
        <f t="shared" si="2"/>
        <v>420085329.83262223</v>
      </c>
      <c r="I72" s="6">
        <f t="shared" si="3"/>
        <v>7889546.3510848135</v>
      </c>
      <c r="J72" s="6">
        <f t="shared" si="4"/>
        <v>8153281.6958825924</v>
      </c>
      <c r="K72" s="6">
        <f t="shared" si="5"/>
        <v>6563833.2786347223</v>
      </c>
      <c r="L72" s="6">
        <f t="shared" si="12"/>
        <v>548394625.12724721</v>
      </c>
      <c r="M72" s="6">
        <f t="shared" si="7"/>
        <v>8568666.0176132377</v>
      </c>
      <c r="N72" s="6"/>
      <c r="O72" s="10">
        <f t="shared" si="8"/>
        <v>482.27544161284544</v>
      </c>
      <c r="P72" s="10">
        <f t="shared" si="9"/>
        <v>7.53555377520071</v>
      </c>
      <c r="Q72" s="10">
        <f t="shared" si="10"/>
        <v>548.3946251272472</v>
      </c>
      <c r="R72" s="10">
        <f t="shared" si="10"/>
        <v>8.5686660176132374</v>
      </c>
      <c r="S72" s="6"/>
    </row>
    <row r="73" spans="1:19" x14ac:dyDescent="0.25">
      <c r="A73">
        <v>65</v>
      </c>
      <c r="B73" s="1">
        <f t="shared" si="11"/>
        <v>6500000000</v>
      </c>
      <c r="C73" s="1">
        <v>24800</v>
      </c>
      <c r="D73" s="1">
        <v>31580</v>
      </c>
      <c r="E73" s="1">
        <v>25200</v>
      </c>
      <c r="F73" s="6">
        <f t="shared" si="0"/>
        <v>524193548.38709676</v>
      </c>
      <c r="G73" s="6">
        <f t="shared" si="1"/>
        <v>411652944.90183663</v>
      </c>
      <c r="H73" s="6">
        <f t="shared" si="2"/>
        <v>515873015.87301588</v>
      </c>
      <c r="I73" s="6">
        <f t="shared" si="3"/>
        <v>8064516.1290322579</v>
      </c>
      <c r="J73" s="6">
        <f t="shared" si="4"/>
        <v>6333122.2292590253</v>
      </c>
      <c r="K73" s="6">
        <f t="shared" si="5"/>
        <v>7936507.9365079366</v>
      </c>
      <c r="L73" s="6">
        <f>$L$72</f>
        <v>548394625.12724721</v>
      </c>
      <c r="M73" s="6">
        <f t="shared" si="7"/>
        <v>8436840.3865730334</v>
      </c>
      <c r="N73" s="6"/>
      <c r="O73" s="10">
        <f t="shared" si="8"/>
        <v>483.90650305398304</v>
      </c>
      <c r="P73" s="10">
        <f t="shared" si="9"/>
        <v>7.4447154315997404</v>
      </c>
      <c r="Q73" s="10">
        <f t="shared" si="10"/>
        <v>548.3946251272472</v>
      </c>
      <c r="R73" s="10">
        <f t="shared" si="10"/>
        <v>8.4368403865730333</v>
      </c>
      <c r="S73" s="6"/>
    </row>
    <row r="74" spans="1:19" x14ac:dyDescent="0.25">
      <c r="A74">
        <v>66</v>
      </c>
      <c r="B74" s="1">
        <f t="shared" si="11"/>
        <v>6600000000</v>
      </c>
      <c r="C74" s="1">
        <v>25390</v>
      </c>
      <c r="D74" s="1">
        <v>25280</v>
      </c>
      <c r="E74" s="1">
        <v>25510</v>
      </c>
      <c r="F74" s="6">
        <f t="shared" ref="F74:F88" si="13">B74*2/C74*1000</f>
        <v>519889720.36234736</v>
      </c>
      <c r="G74" s="6">
        <f t="shared" ref="G74:G88" si="14">B74*2/D74*1000</f>
        <v>522151898.73417723</v>
      </c>
      <c r="H74" s="6">
        <f t="shared" ref="H74:H88" si="15">B74*2/E74*1000</f>
        <v>517444139.55311638</v>
      </c>
      <c r="I74" s="6">
        <f t="shared" ref="I74:I88" si="16">F74/A74</f>
        <v>7877116.9751870809</v>
      </c>
      <c r="J74" s="6">
        <f t="shared" ref="J74:J88" si="17">G74/A74</f>
        <v>7911392.4050632911</v>
      </c>
      <c r="K74" s="6">
        <f t="shared" ref="K74:K88" si="18">H74/A74</f>
        <v>7840062.7205017637</v>
      </c>
      <c r="L74" s="6">
        <f t="shared" ref="L74:L88" si="19">$L$72</f>
        <v>548394625.12724721</v>
      </c>
      <c r="M74" s="6">
        <f t="shared" si="7"/>
        <v>8309009.4716249574</v>
      </c>
      <c r="N74" s="6"/>
      <c r="O74" s="10">
        <f t="shared" ref="O74:O88" si="20">(F74+G74+H74)/3/1000000</f>
        <v>519.82858621654702</v>
      </c>
      <c r="P74" s="10">
        <f t="shared" ref="P74:P88" si="21">(I74+J74+K74)/3/1000000</f>
        <v>7.8761907002507119</v>
      </c>
      <c r="Q74" s="10">
        <f t="shared" ref="Q74:R88" si="22">L74/1000000</f>
        <v>548.3946251272472</v>
      </c>
      <c r="R74" s="10">
        <f t="shared" si="22"/>
        <v>8.3090094716249574</v>
      </c>
      <c r="S74" s="6"/>
    </row>
    <row r="75" spans="1:19" x14ac:dyDescent="0.25">
      <c r="A75">
        <v>67</v>
      </c>
      <c r="B75" s="1">
        <f t="shared" ref="B75:B88" si="23">$B$9*A75</f>
        <v>6700000000</v>
      </c>
      <c r="C75" s="1">
        <v>36620</v>
      </c>
      <c r="D75" s="1">
        <v>25770</v>
      </c>
      <c r="E75" s="1">
        <v>36480</v>
      </c>
      <c r="F75" s="6">
        <f t="shared" si="13"/>
        <v>365920262.1518296</v>
      </c>
      <c r="G75" s="6">
        <f t="shared" si="14"/>
        <v>519984478.07528132</v>
      </c>
      <c r="H75" s="6">
        <f t="shared" si="15"/>
        <v>367324561.40350878</v>
      </c>
      <c r="I75" s="6">
        <f t="shared" si="16"/>
        <v>5461496.4500273075</v>
      </c>
      <c r="J75" s="6">
        <f t="shared" si="17"/>
        <v>7760962.3593325568</v>
      </c>
      <c r="K75" s="6">
        <f t="shared" si="18"/>
        <v>5482456.1403508773</v>
      </c>
      <c r="L75" s="6">
        <f t="shared" si="19"/>
        <v>548394625.12724721</v>
      </c>
      <c r="M75" s="6">
        <f t="shared" ref="M75:M88" si="24">L75/A75</f>
        <v>8184994.4048842872</v>
      </c>
      <c r="N75" s="6"/>
      <c r="O75" s="10">
        <f t="shared" si="20"/>
        <v>417.74310054353981</v>
      </c>
      <c r="P75" s="10">
        <f t="shared" si="21"/>
        <v>6.2349716499035805</v>
      </c>
      <c r="Q75" s="10">
        <f t="shared" si="22"/>
        <v>548.3946251272472</v>
      </c>
      <c r="R75" s="10">
        <f t="shared" si="22"/>
        <v>8.1849944048842875</v>
      </c>
      <c r="S75" s="6"/>
    </row>
    <row r="76" spans="1:19" x14ac:dyDescent="0.25">
      <c r="A76">
        <v>68</v>
      </c>
      <c r="B76" s="1">
        <f t="shared" si="23"/>
        <v>6800000000</v>
      </c>
      <c r="C76" s="1">
        <v>26780</v>
      </c>
      <c r="D76" s="1">
        <v>30950</v>
      </c>
      <c r="E76" s="1">
        <v>26260</v>
      </c>
      <c r="F76" s="6">
        <f t="shared" si="13"/>
        <v>507841672.89021659</v>
      </c>
      <c r="G76" s="6">
        <f t="shared" si="14"/>
        <v>439418416.80129242</v>
      </c>
      <c r="H76" s="6">
        <f t="shared" si="15"/>
        <v>517897943.64051789</v>
      </c>
      <c r="I76" s="6">
        <f t="shared" si="16"/>
        <v>7468259.8954443615</v>
      </c>
      <c r="J76" s="6">
        <f t="shared" si="17"/>
        <v>6462035.5411954764</v>
      </c>
      <c r="K76" s="6">
        <f t="shared" si="18"/>
        <v>7616146.2300076159</v>
      </c>
      <c r="L76" s="6">
        <f t="shared" si="19"/>
        <v>548394625.12724721</v>
      </c>
      <c r="M76" s="6">
        <f t="shared" si="24"/>
        <v>8064626.8401065767</v>
      </c>
      <c r="N76" s="6"/>
      <c r="O76" s="10">
        <f t="shared" si="20"/>
        <v>488.38601111067561</v>
      </c>
      <c r="P76" s="10">
        <f t="shared" si="21"/>
        <v>7.1821472222158169</v>
      </c>
      <c r="Q76" s="10">
        <f t="shared" si="22"/>
        <v>548.3946251272472</v>
      </c>
      <c r="R76" s="10">
        <f t="shared" si="22"/>
        <v>8.0646268401065768</v>
      </c>
      <c r="S76" s="6"/>
    </row>
    <row r="77" spans="1:19" x14ac:dyDescent="0.25">
      <c r="A77">
        <v>69</v>
      </c>
      <c r="B77" s="1">
        <f t="shared" si="23"/>
        <v>6900000000</v>
      </c>
      <c r="C77" s="1">
        <v>32760</v>
      </c>
      <c r="D77" s="1">
        <v>31150</v>
      </c>
      <c r="E77" s="1">
        <v>26480</v>
      </c>
      <c r="F77" s="6">
        <f t="shared" si="13"/>
        <v>421245421.24542123</v>
      </c>
      <c r="G77" s="6">
        <f t="shared" si="14"/>
        <v>443017656.50080258</v>
      </c>
      <c r="H77" s="6">
        <f t="shared" si="15"/>
        <v>521148036.25377643</v>
      </c>
      <c r="I77" s="6">
        <f t="shared" si="16"/>
        <v>6105006.1050061043</v>
      </c>
      <c r="J77" s="6">
        <f t="shared" si="17"/>
        <v>6420545.7463884428</v>
      </c>
      <c r="K77" s="6">
        <f t="shared" si="18"/>
        <v>7552870.090634441</v>
      </c>
      <c r="L77" s="6">
        <f t="shared" si="19"/>
        <v>548394625.12724721</v>
      </c>
      <c r="M77" s="6">
        <f t="shared" si="24"/>
        <v>7947748.1902499599</v>
      </c>
      <c r="N77" s="6"/>
      <c r="O77" s="10">
        <f t="shared" si="20"/>
        <v>461.80370466666676</v>
      </c>
      <c r="P77" s="10">
        <f t="shared" si="21"/>
        <v>6.6928073140096629</v>
      </c>
      <c r="Q77" s="10">
        <f t="shared" si="22"/>
        <v>548.3946251272472</v>
      </c>
      <c r="R77" s="10">
        <f t="shared" si="22"/>
        <v>7.9477481902499596</v>
      </c>
      <c r="S77" s="6"/>
    </row>
    <row r="78" spans="1:19" x14ac:dyDescent="0.25">
      <c r="A78">
        <v>70</v>
      </c>
      <c r="B78" s="1">
        <f t="shared" si="23"/>
        <v>7000000000</v>
      </c>
      <c r="C78" s="1">
        <v>28040</v>
      </c>
      <c r="D78" s="1">
        <v>26930</v>
      </c>
      <c r="E78" s="1">
        <v>27510</v>
      </c>
      <c r="F78" s="6">
        <f t="shared" si="13"/>
        <v>499286733.23823112</v>
      </c>
      <c r="G78" s="6">
        <f t="shared" si="14"/>
        <v>519866320.08911997</v>
      </c>
      <c r="H78" s="6">
        <f t="shared" si="15"/>
        <v>508905852.41730279</v>
      </c>
      <c r="I78" s="6">
        <f t="shared" si="16"/>
        <v>7132667.6176890163</v>
      </c>
      <c r="J78" s="6">
        <f t="shared" si="17"/>
        <v>7426661.7155588567</v>
      </c>
      <c r="K78" s="6">
        <f t="shared" si="18"/>
        <v>7270083.6059614681</v>
      </c>
      <c r="L78" s="6">
        <f t="shared" si="19"/>
        <v>548394625.12724721</v>
      </c>
      <c r="M78" s="6">
        <f t="shared" si="24"/>
        <v>7834208.930389246</v>
      </c>
      <c r="N78" s="6"/>
      <c r="O78" s="10">
        <f t="shared" si="20"/>
        <v>509.35296858155129</v>
      </c>
      <c r="P78" s="10">
        <f t="shared" si="21"/>
        <v>7.2764709797364473</v>
      </c>
      <c r="Q78" s="10">
        <f t="shared" si="22"/>
        <v>548.3946251272472</v>
      </c>
      <c r="R78" s="10">
        <f t="shared" si="22"/>
        <v>7.8342089303892459</v>
      </c>
      <c r="S78" s="6"/>
    </row>
    <row r="79" spans="1:19" x14ac:dyDescent="0.25">
      <c r="A79">
        <v>71</v>
      </c>
      <c r="B79" s="1">
        <f t="shared" si="23"/>
        <v>7100000000</v>
      </c>
      <c r="C79" s="1">
        <v>27030</v>
      </c>
      <c r="D79" s="1">
        <v>27240</v>
      </c>
      <c r="E79" s="1">
        <v>27110</v>
      </c>
      <c r="F79" s="6">
        <f t="shared" si="13"/>
        <v>525342212.3566407</v>
      </c>
      <c r="G79" s="6">
        <f t="shared" si="14"/>
        <v>521292217.32745957</v>
      </c>
      <c r="H79" s="6">
        <f t="shared" si="15"/>
        <v>523791958.68683141</v>
      </c>
      <c r="I79" s="6">
        <f t="shared" si="16"/>
        <v>7399186.0895301504</v>
      </c>
      <c r="J79" s="6">
        <f t="shared" si="17"/>
        <v>7342143.9060205575</v>
      </c>
      <c r="K79" s="6">
        <f t="shared" si="18"/>
        <v>7377351.5308004422</v>
      </c>
      <c r="L79" s="6">
        <f t="shared" si="19"/>
        <v>548394625.12724721</v>
      </c>
      <c r="M79" s="6">
        <f t="shared" si="24"/>
        <v>7723867.9595386935</v>
      </c>
      <c r="N79" s="6"/>
      <c r="O79" s="10">
        <f t="shared" si="20"/>
        <v>523.47546279031053</v>
      </c>
      <c r="P79" s="10">
        <f t="shared" si="21"/>
        <v>7.3728938421170493</v>
      </c>
      <c r="Q79" s="10">
        <f t="shared" si="22"/>
        <v>548.3946251272472</v>
      </c>
      <c r="R79" s="10">
        <f t="shared" si="22"/>
        <v>7.7238679595386932</v>
      </c>
      <c r="S79" s="6"/>
    </row>
    <row r="80" spans="1:19" x14ac:dyDescent="0.25">
      <c r="A80">
        <v>72</v>
      </c>
      <c r="B80" s="1">
        <f t="shared" si="23"/>
        <v>7200000000</v>
      </c>
      <c r="C80" s="1">
        <v>40140</v>
      </c>
      <c r="D80" s="1">
        <v>27520</v>
      </c>
      <c r="E80" s="1">
        <v>34310</v>
      </c>
      <c r="F80" s="6">
        <f t="shared" si="13"/>
        <v>358744394.61883408</v>
      </c>
      <c r="G80" s="6">
        <f t="shared" si="14"/>
        <v>523255813.95348835</v>
      </c>
      <c r="H80" s="6">
        <f t="shared" si="15"/>
        <v>419702710.58000582</v>
      </c>
      <c r="I80" s="6">
        <f t="shared" si="16"/>
        <v>4982561.0363726951</v>
      </c>
      <c r="J80" s="6">
        <f t="shared" si="17"/>
        <v>7267441.8604651159</v>
      </c>
      <c r="K80" s="6">
        <f t="shared" si="18"/>
        <v>5829204.3136111917</v>
      </c>
      <c r="L80" s="6">
        <f t="shared" si="19"/>
        <v>548394625.12724721</v>
      </c>
      <c r="M80" s="6">
        <f t="shared" si="24"/>
        <v>7616592.0156562114</v>
      </c>
      <c r="N80" s="6"/>
      <c r="O80" s="10">
        <f t="shared" si="20"/>
        <v>433.90097305077609</v>
      </c>
      <c r="P80" s="10">
        <f t="shared" si="21"/>
        <v>6.0264024034830008</v>
      </c>
      <c r="Q80" s="10">
        <f t="shared" si="22"/>
        <v>548.3946251272472</v>
      </c>
      <c r="R80" s="10">
        <f t="shared" si="22"/>
        <v>7.6165920156562112</v>
      </c>
      <c r="S80" s="6"/>
    </row>
    <row r="81" spans="1:19" x14ac:dyDescent="0.25">
      <c r="A81">
        <v>73</v>
      </c>
      <c r="B81" s="1">
        <f t="shared" si="23"/>
        <v>7300000000</v>
      </c>
      <c r="C81" s="1">
        <v>28130</v>
      </c>
      <c r="D81" s="1">
        <v>27960</v>
      </c>
      <c r="E81" s="1">
        <v>28410</v>
      </c>
      <c r="F81" s="6">
        <f t="shared" si="13"/>
        <v>519018841.09491646</v>
      </c>
      <c r="G81" s="6">
        <f t="shared" si="14"/>
        <v>522174535.05007154</v>
      </c>
      <c r="H81" s="6">
        <f t="shared" si="15"/>
        <v>513903555.08623725</v>
      </c>
      <c r="I81" s="6">
        <f t="shared" si="16"/>
        <v>7109847.1382865272</v>
      </c>
      <c r="J81" s="6">
        <f t="shared" si="17"/>
        <v>7153075.8226037193</v>
      </c>
      <c r="K81" s="6">
        <f t="shared" si="18"/>
        <v>7039774.7272087298</v>
      </c>
      <c r="L81" s="6">
        <f t="shared" si="19"/>
        <v>548394625.12724721</v>
      </c>
      <c r="M81" s="6">
        <f t="shared" si="24"/>
        <v>7512255.138729414</v>
      </c>
      <c r="N81" s="6"/>
      <c r="O81" s="10">
        <f t="shared" si="20"/>
        <v>518.36564374374177</v>
      </c>
      <c r="P81" s="10">
        <f t="shared" si="21"/>
        <v>7.1008992293663251</v>
      </c>
      <c r="Q81" s="10">
        <f t="shared" si="22"/>
        <v>548.3946251272472</v>
      </c>
      <c r="R81" s="10">
        <f t="shared" si="22"/>
        <v>7.5122551387294143</v>
      </c>
      <c r="S81" s="6"/>
    </row>
    <row r="82" spans="1:19" x14ac:dyDescent="0.25">
      <c r="A82">
        <v>74</v>
      </c>
      <c r="B82" s="1">
        <f t="shared" si="23"/>
        <v>7400000000</v>
      </c>
      <c r="C82" s="1">
        <v>28970</v>
      </c>
      <c r="D82" s="1">
        <v>40500</v>
      </c>
      <c r="E82" s="1">
        <v>28180</v>
      </c>
      <c r="F82" s="6">
        <f t="shared" si="13"/>
        <v>510873317.22471517</v>
      </c>
      <c r="G82" s="6">
        <f t="shared" si="14"/>
        <v>365432098.76543206</v>
      </c>
      <c r="H82" s="6">
        <f t="shared" si="15"/>
        <v>525195173.88218594</v>
      </c>
      <c r="I82" s="6">
        <f t="shared" si="16"/>
        <v>6903693.4760096641</v>
      </c>
      <c r="J82" s="6">
        <f t="shared" si="17"/>
        <v>4938271.6049382715</v>
      </c>
      <c r="K82" s="6">
        <f t="shared" si="18"/>
        <v>7097232.0794889992</v>
      </c>
      <c r="L82" s="6">
        <f t="shared" si="19"/>
        <v>548394625.12724721</v>
      </c>
      <c r="M82" s="6">
        <f t="shared" si="24"/>
        <v>7410738.177395233</v>
      </c>
      <c r="N82" s="6"/>
      <c r="O82" s="10">
        <f t="shared" si="20"/>
        <v>467.16686329077766</v>
      </c>
      <c r="P82" s="10">
        <f t="shared" si="21"/>
        <v>6.3130657201456453</v>
      </c>
      <c r="Q82" s="10">
        <f t="shared" si="22"/>
        <v>548.3946251272472</v>
      </c>
      <c r="R82" s="10">
        <f t="shared" si="22"/>
        <v>7.410738177395233</v>
      </c>
      <c r="S82" s="6"/>
    </row>
    <row r="83" spans="1:19" x14ac:dyDescent="0.25">
      <c r="A83">
        <v>75</v>
      </c>
      <c r="B83" s="1">
        <f t="shared" si="23"/>
        <v>7500000000</v>
      </c>
      <c r="C83" s="1">
        <v>36740</v>
      </c>
      <c r="D83" s="1">
        <v>29440</v>
      </c>
      <c r="E83" s="1">
        <v>28730</v>
      </c>
      <c r="F83" s="6">
        <f t="shared" si="13"/>
        <v>408274360.37016875</v>
      </c>
      <c r="G83" s="6">
        <f t="shared" si="14"/>
        <v>509510869.56521744</v>
      </c>
      <c r="H83" s="6">
        <f t="shared" si="15"/>
        <v>522102332.05708319</v>
      </c>
      <c r="I83" s="6">
        <f t="shared" si="16"/>
        <v>5443658.1382689169</v>
      </c>
      <c r="J83" s="6">
        <f t="shared" si="17"/>
        <v>6793478.2608695654</v>
      </c>
      <c r="K83" s="6">
        <f t="shared" si="18"/>
        <v>6961364.4274277762</v>
      </c>
      <c r="L83" s="6">
        <f t="shared" si="19"/>
        <v>548394625.12724721</v>
      </c>
      <c r="M83" s="6">
        <f t="shared" si="24"/>
        <v>7311928.3350299625</v>
      </c>
      <c r="N83" s="6"/>
      <c r="O83" s="10">
        <f t="shared" si="20"/>
        <v>479.96252066415644</v>
      </c>
      <c r="P83" s="10">
        <f t="shared" si="21"/>
        <v>6.3995002755220858</v>
      </c>
      <c r="Q83" s="10">
        <f t="shared" si="22"/>
        <v>548.3946251272472</v>
      </c>
      <c r="R83" s="10">
        <f t="shared" si="22"/>
        <v>7.3119283350299629</v>
      </c>
      <c r="S83" s="6"/>
    </row>
    <row r="84" spans="1:19" x14ac:dyDescent="0.25">
      <c r="A84">
        <v>76</v>
      </c>
      <c r="B84" s="1">
        <f t="shared" si="23"/>
        <v>7600000000</v>
      </c>
      <c r="C84" s="1">
        <v>29250</v>
      </c>
      <c r="D84" s="1">
        <v>29000</v>
      </c>
      <c r="E84" s="1">
        <v>41440</v>
      </c>
      <c r="F84" s="6">
        <f t="shared" si="13"/>
        <v>519658119.65811968</v>
      </c>
      <c r="G84" s="6">
        <f t="shared" si="14"/>
        <v>524137931.03448278</v>
      </c>
      <c r="H84" s="6">
        <f t="shared" si="15"/>
        <v>366795366.79536682</v>
      </c>
      <c r="I84" s="6">
        <f t="shared" si="16"/>
        <v>6837606.837606838</v>
      </c>
      <c r="J84" s="6">
        <f t="shared" si="17"/>
        <v>6896551.7241379311</v>
      </c>
      <c r="K84" s="6">
        <f t="shared" si="18"/>
        <v>4826254.826254827</v>
      </c>
      <c r="L84" s="6">
        <f t="shared" si="19"/>
        <v>548394625.12724721</v>
      </c>
      <c r="M84" s="6">
        <f t="shared" si="24"/>
        <v>7215718.7516743056</v>
      </c>
      <c r="N84" s="6"/>
      <c r="O84" s="10">
        <f t="shared" si="20"/>
        <v>470.19713916265636</v>
      </c>
      <c r="P84" s="10">
        <f t="shared" si="21"/>
        <v>6.1868044626665313</v>
      </c>
      <c r="Q84" s="10">
        <f t="shared" si="22"/>
        <v>548.3946251272472</v>
      </c>
      <c r="R84" s="10">
        <f t="shared" si="22"/>
        <v>7.2157187516743058</v>
      </c>
      <c r="S84" s="6"/>
    </row>
    <row r="85" spans="1:19" x14ac:dyDescent="0.25">
      <c r="A85">
        <v>77</v>
      </c>
      <c r="B85" s="1">
        <f t="shared" si="23"/>
        <v>7700000000</v>
      </c>
      <c r="C85" s="1">
        <v>29890</v>
      </c>
      <c r="D85" s="1">
        <v>29220</v>
      </c>
      <c r="E85" s="1">
        <v>29320</v>
      </c>
      <c r="F85" s="6">
        <f t="shared" si="13"/>
        <v>515222482.43559718</v>
      </c>
      <c r="G85" s="6">
        <f t="shared" si="14"/>
        <v>527036276.52292955</v>
      </c>
      <c r="H85" s="6">
        <f t="shared" si="15"/>
        <v>525238744.88403821</v>
      </c>
      <c r="I85" s="6">
        <f t="shared" si="16"/>
        <v>6691201.0705921715</v>
      </c>
      <c r="J85" s="6">
        <f t="shared" si="17"/>
        <v>6844626.9678302538</v>
      </c>
      <c r="K85" s="6">
        <f t="shared" si="18"/>
        <v>6821282.4010914052</v>
      </c>
      <c r="L85" s="6">
        <f t="shared" si="19"/>
        <v>548394625.12724721</v>
      </c>
      <c r="M85" s="6">
        <f t="shared" si="24"/>
        <v>7122008.1185356779</v>
      </c>
      <c r="N85" s="6"/>
      <c r="O85" s="10">
        <f t="shared" si="20"/>
        <v>522.49916794752164</v>
      </c>
      <c r="P85" s="10">
        <f t="shared" si="21"/>
        <v>6.7857034798379425</v>
      </c>
      <c r="Q85" s="10">
        <f t="shared" si="22"/>
        <v>548.3946251272472</v>
      </c>
      <c r="R85" s="10">
        <f t="shared" si="22"/>
        <v>7.1220081185356783</v>
      </c>
      <c r="S85" s="6"/>
    </row>
    <row r="86" spans="1:19" x14ac:dyDescent="0.25">
      <c r="A86">
        <v>78</v>
      </c>
      <c r="B86" s="1">
        <f t="shared" si="23"/>
        <v>7800000000</v>
      </c>
      <c r="C86" s="1">
        <v>29680</v>
      </c>
      <c r="D86" s="1">
        <v>29860</v>
      </c>
      <c r="E86" s="1">
        <v>29640</v>
      </c>
      <c r="F86" s="6">
        <f t="shared" si="13"/>
        <v>525606469.00269538</v>
      </c>
      <c r="G86" s="6">
        <f t="shared" si="14"/>
        <v>522438044.20629603</v>
      </c>
      <c r="H86" s="6">
        <f t="shared" si="15"/>
        <v>526315789.47368413</v>
      </c>
      <c r="I86" s="6">
        <f t="shared" si="16"/>
        <v>6738544.4743935307</v>
      </c>
      <c r="J86" s="6">
        <f t="shared" si="17"/>
        <v>6697923.6436704621</v>
      </c>
      <c r="K86" s="6">
        <f t="shared" si="18"/>
        <v>6747638.3265856942</v>
      </c>
      <c r="L86" s="6">
        <f t="shared" si="19"/>
        <v>548394625.12724721</v>
      </c>
      <c r="M86" s="6">
        <f t="shared" si="24"/>
        <v>7030700.3221441954</v>
      </c>
      <c r="N86" s="6"/>
      <c r="O86" s="10">
        <f t="shared" si="20"/>
        <v>524.78676756089192</v>
      </c>
      <c r="P86" s="10">
        <f t="shared" si="21"/>
        <v>6.7280354815498962</v>
      </c>
      <c r="Q86" s="10">
        <f t="shared" si="22"/>
        <v>548.3946251272472</v>
      </c>
      <c r="R86" s="10">
        <f t="shared" si="22"/>
        <v>7.0307003221441953</v>
      </c>
      <c r="S86" s="6"/>
    </row>
    <row r="87" spans="1:19" x14ac:dyDescent="0.25">
      <c r="A87">
        <v>79</v>
      </c>
      <c r="B87" s="1">
        <f t="shared" si="23"/>
        <v>7900000000</v>
      </c>
      <c r="C87" s="1">
        <v>30120</v>
      </c>
      <c r="D87" s="1">
        <v>41670</v>
      </c>
      <c r="E87" s="1">
        <v>30440</v>
      </c>
      <c r="F87" s="6">
        <f t="shared" si="13"/>
        <v>524568393.09428948</v>
      </c>
      <c r="G87" s="6">
        <f t="shared" si="14"/>
        <v>379169666.42668587</v>
      </c>
      <c r="H87" s="6">
        <f t="shared" si="15"/>
        <v>519053876.47831804</v>
      </c>
      <c r="I87" s="6">
        <f t="shared" si="16"/>
        <v>6640106.241699867</v>
      </c>
      <c r="J87" s="6">
        <f t="shared" si="17"/>
        <v>4799616.0307175424</v>
      </c>
      <c r="K87" s="6">
        <f t="shared" si="18"/>
        <v>6570302.2339027599</v>
      </c>
      <c r="L87" s="6">
        <f t="shared" si="19"/>
        <v>548394625.12724721</v>
      </c>
      <c r="M87" s="6">
        <f t="shared" si="24"/>
        <v>6941704.115534775</v>
      </c>
      <c r="N87" s="6"/>
      <c r="O87" s="10">
        <f t="shared" si="20"/>
        <v>474.26397866643111</v>
      </c>
      <c r="P87" s="10">
        <f t="shared" si="21"/>
        <v>6.0033415021067231</v>
      </c>
      <c r="Q87" s="10">
        <f t="shared" si="22"/>
        <v>548.3946251272472</v>
      </c>
      <c r="R87" s="10">
        <f t="shared" si="22"/>
        <v>6.9417041155347752</v>
      </c>
      <c r="S87" s="6"/>
    </row>
    <row r="88" spans="1:19" x14ac:dyDescent="0.25">
      <c r="A88">
        <v>80</v>
      </c>
      <c r="B88" s="1">
        <f t="shared" si="23"/>
        <v>8000000000</v>
      </c>
      <c r="C88" s="1">
        <v>31300</v>
      </c>
      <c r="D88" s="1">
        <v>30820</v>
      </c>
      <c r="E88" s="1">
        <v>30780</v>
      </c>
      <c r="F88" s="6">
        <f t="shared" si="13"/>
        <v>511182108.62619805</v>
      </c>
      <c r="G88" s="6">
        <f t="shared" si="14"/>
        <v>519143413.36794293</v>
      </c>
      <c r="H88" s="6">
        <f t="shared" si="15"/>
        <v>519818063.6777128</v>
      </c>
      <c r="I88" s="6">
        <f t="shared" si="16"/>
        <v>6389776.3578274753</v>
      </c>
      <c r="J88" s="6">
        <f t="shared" si="17"/>
        <v>6489292.6670992868</v>
      </c>
      <c r="K88" s="6">
        <f t="shared" si="18"/>
        <v>6497725.7959714103</v>
      </c>
      <c r="L88" s="6">
        <f t="shared" si="19"/>
        <v>548394625.12724721</v>
      </c>
      <c r="M88" s="6">
        <f t="shared" si="24"/>
        <v>6854932.81409059</v>
      </c>
      <c r="N88" s="6"/>
      <c r="O88" s="10">
        <f t="shared" si="20"/>
        <v>516.71452855728455</v>
      </c>
      <c r="P88" s="10">
        <f t="shared" si="21"/>
        <v>6.4589316069660585</v>
      </c>
      <c r="Q88" s="10">
        <f t="shared" si="22"/>
        <v>548.3946251272472</v>
      </c>
      <c r="R88" s="10">
        <f t="shared" si="22"/>
        <v>6.8549328140905903</v>
      </c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C472-AD92-46CB-AEB0-EE1A8DD95727}">
  <dimension ref="A1:U91"/>
  <sheetViews>
    <sheetView topLeftCell="K1" zoomScaleNormal="100" workbookViewId="0">
      <selection sqref="A1:M1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17670</v>
      </c>
      <c r="D9" s="1">
        <v>17670</v>
      </c>
      <c r="E9" s="1">
        <v>17750</v>
      </c>
      <c r="F9" s="6">
        <f>B9*2/C9*1000</f>
        <v>11318619.128466327</v>
      </c>
      <c r="G9" s="6">
        <f>B9*2/D9*1000</f>
        <v>11318619.128466327</v>
      </c>
      <c r="H9" s="6">
        <f>B9*2/E9*1000</f>
        <v>11267605.633802818</v>
      </c>
      <c r="I9" s="6">
        <f>F9/A9</f>
        <v>11318619.128466327</v>
      </c>
      <c r="J9" s="6">
        <f>G9/A9</f>
        <v>11318619.128466327</v>
      </c>
      <c r="K9" s="6">
        <f>H9/A9</f>
        <v>11267605.633802818</v>
      </c>
      <c r="L9" s="6">
        <f>(F9+G9+H9)/3</f>
        <v>11301614.630245157</v>
      </c>
      <c r="M9" s="6">
        <f>L9/A9</f>
        <v>11301614.630245157</v>
      </c>
      <c r="N9" s="6"/>
      <c r="O9" s="10">
        <f>(F9+G9+H9)/3/1000000</f>
        <v>11.301614630245156</v>
      </c>
      <c r="P9" s="10">
        <f>(I9+J9+K9)/3/1000000</f>
        <v>11.301614630245156</v>
      </c>
      <c r="Q9" s="10">
        <f>L9/1000000</f>
        <v>11.301614630245156</v>
      </c>
      <c r="R9" s="10">
        <f>M9/1000000</f>
        <v>11.301614630245156</v>
      </c>
      <c r="S9" s="6"/>
    </row>
    <row r="10" spans="1:19" x14ac:dyDescent="0.25">
      <c r="A10">
        <v>2</v>
      </c>
      <c r="B10" s="1">
        <f>$B$9*A10</f>
        <v>200000000</v>
      </c>
      <c r="C10" s="1">
        <v>17740</v>
      </c>
      <c r="D10" s="1">
        <v>17740</v>
      </c>
      <c r="E10" s="1">
        <v>17780</v>
      </c>
      <c r="F10" s="6">
        <f t="shared" ref="F10:F73" si="0">B10*2/C10*1000</f>
        <v>22547914.317925591</v>
      </c>
      <c r="G10" s="6">
        <f t="shared" ref="G10:G73" si="1">B10*2/D10*1000</f>
        <v>22547914.317925591</v>
      </c>
      <c r="H10" s="6">
        <f t="shared" ref="H10:H73" si="2">B10*2/E10*1000</f>
        <v>22497187.85151856</v>
      </c>
      <c r="I10" s="6">
        <f t="shared" ref="I10:I73" si="3">F10/A10</f>
        <v>11273957.158962796</v>
      </c>
      <c r="J10" s="6">
        <f t="shared" ref="J10:J73" si="4">G10/A10</f>
        <v>11273957.158962796</v>
      </c>
      <c r="K10" s="6">
        <f t="shared" ref="K10:K73" si="5">H10/A10</f>
        <v>11248593.92575928</v>
      </c>
      <c r="L10" s="6">
        <f t="shared" ref="L10:L40" si="6">$L$9*A10</f>
        <v>22603229.260490313</v>
      </c>
      <c r="M10" s="6">
        <f t="shared" ref="M10:M74" si="7">L10/A10</f>
        <v>11301614.630245157</v>
      </c>
      <c r="N10" s="6"/>
      <c r="O10" s="10">
        <f t="shared" ref="O10:O73" si="8">(F10+G10+H10)/3/1000000</f>
        <v>22.531005495789916</v>
      </c>
      <c r="P10" s="10">
        <f t="shared" ref="P10:P73" si="9">(I10+J10+K10)/3/1000000</f>
        <v>11.265502747894958</v>
      </c>
      <c r="Q10" s="10">
        <f t="shared" ref="Q10:R73" si="10">L10/1000000</f>
        <v>22.603229260490313</v>
      </c>
      <c r="R10" s="10">
        <f t="shared" si="10"/>
        <v>11.301614630245156</v>
      </c>
      <c r="S10" s="6"/>
    </row>
    <row r="11" spans="1:19" x14ac:dyDescent="0.25">
      <c r="A11">
        <v>3</v>
      </c>
      <c r="B11" s="1">
        <f t="shared" ref="B11:B74" si="11">$B$9*A11</f>
        <v>300000000</v>
      </c>
      <c r="C11" s="1">
        <v>17660</v>
      </c>
      <c r="D11" s="1">
        <v>17660</v>
      </c>
      <c r="E11" s="1">
        <v>17740</v>
      </c>
      <c r="F11" s="6">
        <f t="shared" si="0"/>
        <v>33975084.937712342</v>
      </c>
      <c r="G11" s="6">
        <f t="shared" si="1"/>
        <v>33975084.937712342</v>
      </c>
      <c r="H11" s="6">
        <f t="shared" si="2"/>
        <v>33821871.476888388</v>
      </c>
      <c r="I11" s="6">
        <f t="shared" si="3"/>
        <v>11325028.312570781</v>
      </c>
      <c r="J11" s="6">
        <f t="shared" si="4"/>
        <v>11325028.312570781</v>
      </c>
      <c r="K11" s="6">
        <f t="shared" si="5"/>
        <v>11273957.158962796</v>
      </c>
      <c r="L11" s="6">
        <f t="shared" si="6"/>
        <v>33904843.89073547</v>
      </c>
      <c r="M11" s="6">
        <f t="shared" si="7"/>
        <v>11301614.630245157</v>
      </c>
      <c r="N11" s="6"/>
      <c r="O11" s="10">
        <f t="shared" si="8"/>
        <v>33.924013784104353</v>
      </c>
      <c r="P11" s="10">
        <f t="shared" si="9"/>
        <v>11.308004594701453</v>
      </c>
      <c r="Q11" s="10">
        <f t="shared" si="10"/>
        <v>33.904843890735471</v>
      </c>
      <c r="R11" s="10">
        <f t="shared" si="10"/>
        <v>11.301614630245156</v>
      </c>
      <c r="S11" s="6"/>
    </row>
    <row r="12" spans="1:19" x14ac:dyDescent="0.25">
      <c r="A12">
        <v>4</v>
      </c>
      <c r="B12" s="1">
        <f t="shared" si="11"/>
        <v>400000000</v>
      </c>
      <c r="C12" s="1">
        <v>17680</v>
      </c>
      <c r="D12" s="1">
        <v>17680</v>
      </c>
      <c r="E12" s="1">
        <v>18160</v>
      </c>
      <c r="F12" s="6">
        <f t="shared" si="0"/>
        <v>45248868.778280541</v>
      </c>
      <c r="G12" s="6">
        <f t="shared" si="1"/>
        <v>45248868.778280541</v>
      </c>
      <c r="H12" s="6">
        <f t="shared" si="2"/>
        <v>44052863.436123349</v>
      </c>
      <c r="I12" s="6">
        <f t="shared" si="3"/>
        <v>11312217.194570135</v>
      </c>
      <c r="J12" s="6">
        <f t="shared" si="4"/>
        <v>11312217.194570135</v>
      </c>
      <c r="K12" s="6">
        <f t="shared" si="5"/>
        <v>11013215.859030837</v>
      </c>
      <c r="L12" s="6">
        <f t="shared" si="6"/>
        <v>45206458.520980626</v>
      </c>
      <c r="M12" s="6">
        <f t="shared" si="7"/>
        <v>11301614.630245157</v>
      </c>
      <c r="N12" s="6"/>
      <c r="O12" s="10">
        <f t="shared" si="8"/>
        <v>44.850200330894808</v>
      </c>
      <c r="P12" s="10">
        <f t="shared" si="9"/>
        <v>11.212550082723702</v>
      </c>
      <c r="Q12" s="10">
        <f t="shared" si="10"/>
        <v>45.206458520980625</v>
      </c>
      <c r="R12" s="10">
        <f t="shared" si="10"/>
        <v>11.301614630245156</v>
      </c>
      <c r="S12" s="6"/>
    </row>
    <row r="13" spans="1:19" x14ac:dyDescent="0.25">
      <c r="A13">
        <v>5</v>
      </c>
      <c r="B13" s="1">
        <f t="shared" si="11"/>
        <v>500000000</v>
      </c>
      <c r="C13" s="1">
        <v>17890</v>
      </c>
      <c r="D13" s="1">
        <v>17890</v>
      </c>
      <c r="E13" s="1">
        <v>17590</v>
      </c>
      <c r="F13" s="6">
        <f t="shared" si="0"/>
        <v>55897149.245388485</v>
      </c>
      <c r="G13" s="6">
        <f t="shared" si="1"/>
        <v>55897149.245388485</v>
      </c>
      <c r="H13" s="6">
        <f t="shared" si="2"/>
        <v>56850483.229107447</v>
      </c>
      <c r="I13" s="6">
        <f t="shared" si="3"/>
        <v>11179429.849077698</v>
      </c>
      <c r="J13" s="6">
        <f t="shared" si="4"/>
        <v>11179429.849077698</v>
      </c>
      <c r="K13" s="6">
        <f t="shared" si="5"/>
        <v>11370096.645821489</v>
      </c>
      <c r="L13" s="6">
        <f t="shared" si="6"/>
        <v>56508073.151225783</v>
      </c>
      <c r="M13" s="6">
        <f t="shared" si="7"/>
        <v>11301614.630245157</v>
      </c>
      <c r="N13" s="6"/>
      <c r="O13" s="10">
        <f t="shared" si="8"/>
        <v>56.214927239961476</v>
      </c>
      <c r="P13" s="10">
        <f t="shared" si="9"/>
        <v>11.242985447992295</v>
      </c>
      <c r="Q13" s="10">
        <f t="shared" si="10"/>
        <v>56.50807315122578</v>
      </c>
      <c r="R13" s="10">
        <f t="shared" si="10"/>
        <v>11.301614630245156</v>
      </c>
      <c r="S13" s="6"/>
    </row>
    <row r="14" spans="1:19" x14ac:dyDescent="0.25">
      <c r="A14">
        <v>6</v>
      </c>
      <c r="B14" s="1">
        <f t="shared" si="11"/>
        <v>600000000</v>
      </c>
      <c r="C14" s="1">
        <v>17790</v>
      </c>
      <c r="D14" s="1">
        <v>17790</v>
      </c>
      <c r="E14" s="1">
        <v>17810</v>
      </c>
      <c r="F14" s="6">
        <f t="shared" si="0"/>
        <v>67453625.632377729</v>
      </c>
      <c r="G14" s="6">
        <f t="shared" si="1"/>
        <v>67453625.632377729</v>
      </c>
      <c r="H14" s="6">
        <f t="shared" si="2"/>
        <v>67377877.5968557</v>
      </c>
      <c r="I14" s="6">
        <f t="shared" si="3"/>
        <v>11242270.938729621</v>
      </c>
      <c r="J14" s="6">
        <f t="shared" si="4"/>
        <v>11242270.938729621</v>
      </c>
      <c r="K14" s="6">
        <f t="shared" si="5"/>
        <v>11229646.266142616</v>
      </c>
      <c r="L14" s="6">
        <f t="shared" si="6"/>
        <v>67809687.78147094</v>
      </c>
      <c r="M14" s="6">
        <f t="shared" si="7"/>
        <v>11301614.630245157</v>
      </c>
      <c r="N14" s="6"/>
      <c r="O14" s="10">
        <f t="shared" si="8"/>
        <v>67.428376287203719</v>
      </c>
      <c r="P14" s="10">
        <f t="shared" si="9"/>
        <v>11.238062714533953</v>
      </c>
      <c r="Q14" s="10">
        <f t="shared" si="10"/>
        <v>67.809687781470942</v>
      </c>
      <c r="R14" s="10">
        <f t="shared" si="10"/>
        <v>11.301614630245156</v>
      </c>
      <c r="S14" s="6"/>
    </row>
    <row r="15" spans="1:19" x14ac:dyDescent="0.25">
      <c r="A15">
        <v>7</v>
      </c>
      <c r="B15" s="1">
        <f t="shared" si="11"/>
        <v>700000000</v>
      </c>
      <c r="C15" s="1">
        <v>18200</v>
      </c>
      <c r="D15" s="1">
        <v>18200</v>
      </c>
      <c r="E15" s="1">
        <v>18170</v>
      </c>
      <c r="F15" s="6">
        <f t="shared" si="0"/>
        <v>76923076.923076928</v>
      </c>
      <c r="G15" s="6">
        <f t="shared" si="1"/>
        <v>76923076.923076928</v>
      </c>
      <c r="H15" s="6">
        <f t="shared" si="2"/>
        <v>77050082.553659886</v>
      </c>
      <c r="I15" s="6">
        <f t="shared" si="3"/>
        <v>10989010.98901099</v>
      </c>
      <c r="J15" s="6">
        <f t="shared" si="4"/>
        <v>10989010.98901099</v>
      </c>
      <c r="K15" s="6">
        <f t="shared" si="5"/>
        <v>11007154.650522841</v>
      </c>
      <c r="L15" s="6">
        <f t="shared" si="6"/>
        <v>79111302.411716104</v>
      </c>
      <c r="M15" s="6">
        <f t="shared" si="7"/>
        <v>11301614.630245158</v>
      </c>
      <c r="N15" s="6"/>
      <c r="O15" s="10">
        <f t="shared" si="8"/>
        <v>76.965412133271244</v>
      </c>
      <c r="P15" s="10">
        <f t="shared" si="9"/>
        <v>10.995058876181607</v>
      </c>
      <c r="Q15" s="10">
        <f t="shared" si="10"/>
        <v>79.11130241171611</v>
      </c>
      <c r="R15" s="10">
        <f t="shared" si="10"/>
        <v>11.301614630245158</v>
      </c>
      <c r="S15" s="6"/>
    </row>
    <row r="16" spans="1:19" x14ac:dyDescent="0.25">
      <c r="A16">
        <v>8</v>
      </c>
      <c r="B16" s="1">
        <f t="shared" si="11"/>
        <v>800000000</v>
      </c>
      <c r="C16" s="1">
        <v>18020</v>
      </c>
      <c r="D16" s="1">
        <v>18020</v>
      </c>
      <c r="E16" s="1">
        <v>17960</v>
      </c>
      <c r="F16" s="6">
        <f t="shared" si="0"/>
        <v>88790233.074361816</v>
      </c>
      <c r="G16" s="6">
        <f t="shared" si="1"/>
        <v>88790233.074361816</v>
      </c>
      <c r="H16" s="6">
        <f t="shared" si="2"/>
        <v>89086859.688196003</v>
      </c>
      <c r="I16" s="6">
        <f t="shared" si="3"/>
        <v>11098779.134295227</v>
      </c>
      <c r="J16" s="6">
        <f t="shared" si="4"/>
        <v>11098779.134295227</v>
      </c>
      <c r="K16" s="6">
        <f t="shared" si="5"/>
        <v>11135857.4610245</v>
      </c>
      <c r="L16" s="6">
        <f t="shared" si="6"/>
        <v>90412917.041961253</v>
      </c>
      <c r="M16" s="6">
        <f t="shared" si="7"/>
        <v>11301614.630245157</v>
      </c>
      <c r="N16" s="6"/>
      <c r="O16" s="10">
        <f t="shared" si="8"/>
        <v>88.889108612306543</v>
      </c>
      <c r="P16" s="10">
        <f t="shared" si="9"/>
        <v>11.111138576538318</v>
      </c>
      <c r="Q16" s="10">
        <f t="shared" si="10"/>
        <v>90.412917041961251</v>
      </c>
      <c r="R16" s="10">
        <f t="shared" si="10"/>
        <v>11.301614630245156</v>
      </c>
      <c r="S16" s="6"/>
    </row>
    <row r="17" spans="1:19" x14ac:dyDescent="0.25">
      <c r="A17">
        <v>9</v>
      </c>
      <c r="B17" s="1">
        <f t="shared" si="11"/>
        <v>900000000</v>
      </c>
      <c r="C17" s="1">
        <v>18080</v>
      </c>
      <c r="D17" s="1">
        <v>18080</v>
      </c>
      <c r="E17" s="1">
        <v>17990</v>
      </c>
      <c r="F17" s="6">
        <f t="shared" si="0"/>
        <v>99557522.123893812</v>
      </c>
      <c r="G17" s="6">
        <f t="shared" si="1"/>
        <v>99557522.123893812</v>
      </c>
      <c r="H17" s="6">
        <f t="shared" si="2"/>
        <v>100055586.43690939</v>
      </c>
      <c r="I17" s="6">
        <f t="shared" si="3"/>
        <v>11061946.902654868</v>
      </c>
      <c r="J17" s="6">
        <f t="shared" si="4"/>
        <v>11061946.902654868</v>
      </c>
      <c r="K17" s="6">
        <f t="shared" si="5"/>
        <v>11117287.381878821</v>
      </c>
      <c r="L17" s="6">
        <f t="shared" si="6"/>
        <v>101714531.6722064</v>
      </c>
      <c r="M17" s="6">
        <f t="shared" si="7"/>
        <v>11301614.630245157</v>
      </c>
      <c r="N17" s="6"/>
      <c r="O17" s="10">
        <f t="shared" si="8"/>
        <v>99.723543561565677</v>
      </c>
      <c r="P17" s="10">
        <f t="shared" si="9"/>
        <v>11.080393729062854</v>
      </c>
      <c r="Q17" s="10">
        <f t="shared" si="10"/>
        <v>101.71453167220641</v>
      </c>
      <c r="R17" s="10">
        <f t="shared" si="10"/>
        <v>11.301614630245156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18100</v>
      </c>
      <c r="D18" s="1">
        <v>18100</v>
      </c>
      <c r="E18" s="1">
        <v>17970</v>
      </c>
      <c r="F18" s="6">
        <f t="shared" si="0"/>
        <v>110497237.56906077</v>
      </c>
      <c r="G18" s="6">
        <f t="shared" si="1"/>
        <v>110497237.56906077</v>
      </c>
      <c r="H18" s="6">
        <f t="shared" si="2"/>
        <v>111296605.45353368</v>
      </c>
      <c r="I18" s="6">
        <f t="shared" si="3"/>
        <v>11049723.756906077</v>
      </c>
      <c r="J18" s="6">
        <f t="shared" si="4"/>
        <v>11049723.756906077</v>
      </c>
      <c r="K18" s="6">
        <f t="shared" si="5"/>
        <v>11129660.545353368</v>
      </c>
      <c r="L18" s="6">
        <f t="shared" si="6"/>
        <v>113016146.30245157</v>
      </c>
      <c r="M18" s="6">
        <f t="shared" si="7"/>
        <v>11301614.630245157</v>
      </c>
      <c r="N18" s="6"/>
      <c r="O18" s="10">
        <f t="shared" si="8"/>
        <v>110.76369353055175</v>
      </c>
      <c r="P18" s="10">
        <f t="shared" si="9"/>
        <v>11.076369353055174</v>
      </c>
      <c r="Q18" s="10">
        <f t="shared" si="10"/>
        <v>113.01614630245156</v>
      </c>
      <c r="R18" s="10">
        <f t="shared" si="10"/>
        <v>11.301614630245156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17700</v>
      </c>
      <c r="D19" s="1">
        <v>17700</v>
      </c>
      <c r="E19" s="1">
        <v>18220</v>
      </c>
      <c r="F19" s="6">
        <f t="shared" si="0"/>
        <v>124293785.31073445</v>
      </c>
      <c r="G19" s="6">
        <f t="shared" si="1"/>
        <v>124293785.31073445</v>
      </c>
      <c r="H19" s="6">
        <f t="shared" si="2"/>
        <v>120746432.49176729</v>
      </c>
      <c r="I19" s="6">
        <f t="shared" si="3"/>
        <v>11299435.028248586</v>
      </c>
      <c r="J19" s="6">
        <f t="shared" si="4"/>
        <v>11299435.028248586</v>
      </c>
      <c r="K19" s="6">
        <f t="shared" si="5"/>
        <v>10976948.408342481</v>
      </c>
      <c r="L19" s="6">
        <f t="shared" si="6"/>
        <v>124317760.93269673</v>
      </c>
      <c r="M19" s="6">
        <f t="shared" si="7"/>
        <v>11301614.630245157</v>
      </c>
      <c r="N19" s="6"/>
      <c r="O19" s="10">
        <f t="shared" si="8"/>
        <v>123.11133437107873</v>
      </c>
      <c r="P19" s="10">
        <f t="shared" si="9"/>
        <v>11.191939488279885</v>
      </c>
      <c r="Q19" s="10">
        <f t="shared" si="10"/>
        <v>124.31776093269673</v>
      </c>
      <c r="R19" s="10">
        <f t="shared" si="10"/>
        <v>11.301614630245156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18060</v>
      </c>
      <c r="D20" s="1">
        <v>18060</v>
      </c>
      <c r="E20" s="1">
        <v>17960</v>
      </c>
      <c r="F20" s="6">
        <f t="shared" si="0"/>
        <v>132890365.44850498</v>
      </c>
      <c r="G20" s="6">
        <f t="shared" si="1"/>
        <v>132890365.44850498</v>
      </c>
      <c r="H20" s="6">
        <f t="shared" si="2"/>
        <v>133630289.53229398</v>
      </c>
      <c r="I20" s="6">
        <f t="shared" si="3"/>
        <v>11074197.120708749</v>
      </c>
      <c r="J20" s="6">
        <f t="shared" si="4"/>
        <v>11074197.120708749</v>
      </c>
      <c r="K20" s="6">
        <f t="shared" si="5"/>
        <v>11135857.461024499</v>
      </c>
      <c r="L20" s="6">
        <f t="shared" si="6"/>
        <v>135619375.56294188</v>
      </c>
      <c r="M20" s="6">
        <f t="shared" si="7"/>
        <v>11301614.630245157</v>
      </c>
      <c r="N20" s="6"/>
      <c r="O20" s="10">
        <f t="shared" si="8"/>
        <v>133.13700680976797</v>
      </c>
      <c r="P20" s="10">
        <f t="shared" si="9"/>
        <v>11.094750567480666</v>
      </c>
      <c r="Q20" s="10">
        <f t="shared" si="10"/>
        <v>135.61937556294188</v>
      </c>
      <c r="R20" s="10">
        <f t="shared" si="10"/>
        <v>11.301614630245156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18190</v>
      </c>
      <c r="D21" s="1">
        <v>18190</v>
      </c>
      <c r="E21" s="1">
        <v>18540</v>
      </c>
      <c r="F21" s="6">
        <f t="shared" si="0"/>
        <v>142935678.944475</v>
      </c>
      <c r="G21" s="6">
        <f t="shared" si="1"/>
        <v>142935678.944475</v>
      </c>
      <c r="H21" s="6">
        <f t="shared" si="2"/>
        <v>140237324.70334411</v>
      </c>
      <c r="I21" s="6">
        <f t="shared" si="3"/>
        <v>10995052.226498077</v>
      </c>
      <c r="J21" s="6">
        <f t="shared" si="4"/>
        <v>10995052.226498077</v>
      </c>
      <c r="K21" s="6">
        <f t="shared" si="5"/>
        <v>10787486.515641855</v>
      </c>
      <c r="L21" s="6">
        <f t="shared" si="6"/>
        <v>146920990.19318703</v>
      </c>
      <c r="M21" s="6">
        <f t="shared" si="7"/>
        <v>11301614.630245157</v>
      </c>
      <c r="N21" s="6"/>
      <c r="O21" s="10">
        <f t="shared" si="8"/>
        <v>142.03622753076471</v>
      </c>
      <c r="P21" s="10">
        <f t="shared" si="9"/>
        <v>10.925863656212671</v>
      </c>
      <c r="Q21" s="10">
        <f t="shared" si="10"/>
        <v>146.92099019318704</v>
      </c>
      <c r="R21" s="10">
        <f t="shared" si="10"/>
        <v>11.301614630245156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17950</v>
      </c>
      <c r="D22" s="1">
        <v>17950</v>
      </c>
      <c r="E22" s="1">
        <v>17760</v>
      </c>
      <c r="F22" s="6">
        <f t="shared" si="0"/>
        <v>155988857.93871868</v>
      </c>
      <c r="G22" s="6">
        <f t="shared" si="1"/>
        <v>155988857.93871868</v>
      </c>
      <c r="H22" s="6">
        <f t="shared" si="2"/>
        <v>157657657.65765765</v>
      </c>
      <c r="I22" s="6">
        <f t="shared" si="3"/>
        <v>11142061.281337049</v>
      </c>
      <c r="J22" s="6">
        <f t="shared" si="4"/>
        <v>11142061.281337049</v>
      </c>
      <c r="K22" s="6">
        <f t="shared" si="5"/>
        <v>11261261.26126126</v>
      </c>
      <c r="L22" s="6">
        <f t="shared" si="6"/>
        <v>158222604.82343221</v>
      </c>
      <c r="M22" s="6">
        <f t="shared" si="7"/>
        <v>11301614.630245158</v>
      </c>
      <c r="N22" s="6"/>
      <c r="O22" s="10">
        <f t="shared" si="8"/>
        <v>156.54512451169833</v>
      </c>
      <c r="P22" s="10">
        <f t="shared" si="9"/>
        <v>11.181794607978453</v>
      </c>
      <c r="Q22" s="10">
        <f t="shared" si="10"/>
        <v>158.22260482343222</v>
      </c>
      <c r="R22" s="10">
        <f t="shared" si="10"/>
        <v>11.301614630245158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18290</v>
      </c>
      <c r="D23" s="1">
        <v>18290</v>
      </c>
      <c r="E23" s="1">
        <v>17780</v>
      </c>
      <c r="F23" s="6">
        <f t="shared" si="0"/>
        <v>164024056.86167306</v>
      </c>
      <c r="G23" s="6">
        <f t="shared" si="1"/>
        <v>164024056.86167306</v>
      </c>
      <c r="H23" s="6">
        <f t="shared" si="2"/>
        <v>168728908.8863892</v>
      </c>
      <c r="I23" s="6">
        <f t="shared" si="3"/>
        <v>10934937.124111537</v>
      </c>
      <c r="J23" s="6">
        <f t="shared" si="4"/>
        <v>10934937.124111537</v>
      </c>
      <c r="K23" s="6">
        <f t="shared" si="5"/>
        <v>11248593.92575928</v>
      </c>
      <c r="L23" s="6">
        <f t="shared" si="6"/>
        <v>169524219.45367736</v>
      </c>
      <c r="M23" s="6">
        <f t="shared" si="7"/>
        <v>11301614.630245157</v>
      </c>
      <c r="N23" s="6"/>
      <c r="O23" s="10">
        <f t="shared" si="8"/>
        <v>165.59234086991177</v>
      </c>
      <c r="P23" s="10">
        <f t="shared" si="9"/>
        <v>11.03948939132745</v>
      </c>
      <c r="Q23" s="10">
        <f t="shared" si="10"/>
        <v>169.52421945367735</v>
      </c>
      <c r="R23" s="10">
        <f t="shared" si="10"/>
        <v>11.301614630245156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17980</v>
      </c>
      <c r="D24" s="1">
        <v>17980</v>
      </c>
      <c r="E24" s="1">
        <v>18010</v>
      </c>
      <c r="F24" s="6">
        <f t="shared" si="0"/>
        <v>177975528.36484984</v>
      </c>
      <c r="G24" s="6">
        <f t="shared" si="1"/>
        <v>177975528.36484984</v>
      </c>
      <c r="H24" s="6">
        <f t="shared" si="2"/>
        <v>177679067.18489727</v>
      </c>
      <c r="I24" s="6">
        <f t="shared" si="3"/>
        <v>11123470.522803115</v>
      </c>
      <c r="J24" s="6">
        <f t="shared" si="4"/>
        <v>11123470.522803115</v>
      </c>
      <c r="K24" s="6">
        <f t="shared" si="5"/>
        <v>11104941.69905608</v>
      </c>
      <c r="L24" s="6">
        <f t="shared" si="6"/>
        <v>180825834.08392251</v>
      </c>
      <c r="M24" s="6">
        <f t="shared" si="7"/>
        <v>11301614.630245157</v>
      </c>
      <c r="N24" s="6"/>
      <c r="O24" s="10">
        <f t="shared" si="8"/>
        <v>177.87670797153231</v>
      </c>
      <c r="P24" s="10">
        <f t="shared" si="9"/>
        <v>11.11729424822077</v>
      </c>
      <c r="Q24" s="10">
        <f t="shared" si="10"/>
        <v>180.8258340839225</v>
      </c>
      <c r="R24" s="10">
        <f t="shared" si="10"/>
        <v>11.301614630245156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18400</v>
      </c>
      <c r="D25" s="1">
        <v>18400</v>
      </c>
      <c r="E25" s="1">
        <v>23160</v>
      </c>
      <c r="F25" s="6">
        <f t="shared" si="0"/>
        <v>184782608.69565216</v>
      </c>
      <c r="G25" s="6">
        <f t="shared" si="1"/>
        <v>184782608.69565216</v>
      </c>
      <c r="H25" s="6">
        <f t="shared" si="2"/>
        <v>146804835.92400691</v>
      </c>
      <c r="I25" s="6">
        <f t="shared" si="3"/>
        <v>10869565.217391303</v>
      </c>
      <c r="J25" s="6">
        <f t="shared" si="4"/>
        <v>10869565.217391303</v>
      </c>
      <c r="K25" s="6">
        <f t="shared" si="5"/>
        <v>8635578.5837651119</v>
      </c>
      <c r="L25" s="6">
        <f t="shared" si="6"/>
        <v>192127448.71416765</v>
      </c>
      <c r="M25" s="6">
        <f t="shared" si="7"/>
        <v>11301614.630245157</v>
      </c>
      <c r="N25" s="6"/>
      <c r="O25" s="10">
        <f t="shared" si="8"/>
        <v>172.12335110510372</v>
      </c>
      <c r="P25" s="10">
        <f t="shared" si="9"/>
        <v>10.124903006182572</v>
      </c>
      <c r="Q25" s="10">
        <f t="shared" si="10"/>
        <v>192.12744871416766</v>
      </c>
      <c r="R25" s="10">
        <f t="shared" si="10"/>
        <v>11.301614630245156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18620</v>
      </c>
      <c r="D26" s="1">
        <v>18620</v>
      </c>
      <c r="E26" s="1">
        <v>21590</v>
      </c>
      <c r="F26" s="6">
        <f t="shared" si="0"/>
        <v>193340494.09237379</v>
      </c>
      <c r="G26" s="6">
        <f t="shared" si="1"/>
        <v>193340494.09237379</v>
      </c>
      <c r="H26" s="6">
        <f t="shared" si="2"/>
        <v>166743862.89949051</v>
      </c>
      <c r="I26" s="6">
        <f t="shared" si="3"/>
        <v>10741138.560687432</v>
      </c>
      <c r="J26" s="6">
        <f t="shared" si="4"/>
        <v>10741138.560687432</v>
      </c>
      <c r="K26" s="6">
        <f t="shared" si="5"/>
        <v>9263547.9388605841</v>
      </c>
      <c r="L26" s="6">
        <f t="shared" si="6"/>
        <v>203429063.3444128</v>
      </c>
      <c r="M26" s="6">
        <f t="shared" si="7"/>
        <v>11301614.630245157</v>
      </c>
      <c r="N26" s="6"/>
      <c r="O26" s="10">
        <f t="shared" si="8"/>
        <v>184.47495036141268</v>
      </c>
      <c r="P26" s="10">
        <f t="shared" si="9"/>
        <v>10.248608353411816</v>
      </c>
      <c r="Q26" s="10">
        <f t="shared" si="10"/>
        <v>203.42906334441281</v>
      </c>
      <c r="R26" s="10">
        <f t="shared" si="10"/>
        <v>11.301614630245156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18840</v>
      </c>
      <c r="D27" s="1">
        <v>18840</v>
      </c>
      <c r="E27" s="1">
        <v>18280</v>
      </c>
      <c r="F27" s="6">
        <f t="shared" si="0"/>
        <v>201698513.80042464</v>
      </c>
      <c r="G27" s="6">
        <f t="shared" si="1"/>
        <v>201698513.80042464</v>
      </c>
      <c r="H27" s="6">
        <f t="shared" si="2"/>
        <v>207877461.70678335</v>
      </c>
      <c r="I27" s="6">
        <f t="shared" si="3"/>
        <v>10615711.252653928</v>
      </c>
      <c r="J27" s="6">
        <f t="shared" si="4"/>
        <v>10615711.252653928</v>
      </c>
      <c r="K27" s="6">
        <f t="shared" si="5"/>
        <v>10940919.037199125</v>
      </c>
      <c r="L27" s="6">
        <f t="shared" si="6"/>
        <v>214730677.97465798</v>
      </c>
      <c r="M27" s="6">
        <f t="shared" si="7"/>
        <v>11301614.630245157</v>
      </c>
      <c r="N27" s="6"/>
      <c r="O27" s="10">
        <f t="shared" si="8"/>
        <v>203.75816310254422</v>
      </c>
      <c r="P27" s="10">
        <f t="shared" si="9"/>
        <v>10.724113847502327</v>
      </c>
      <c r="Q27" s="10">
        <f t="shared" si="10"/>
        <v>214.73067797465799</v>
      </c>
      <c r="R27" s="10">
        <f t="shared" si="10"/>
        <v>11.301614630245156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18170</v>
      </c>
      <c r="D28" s="1">
        <v>18170</v>
      </c>
      <c r="E28" s="1">
        <v>17630</v>
      </c>
      <c r="F28" s="6">
        <f t="shared" si="0"/>
        <v>220143093.0104568</v>
      </c>
      <c r="G28" s="6">
        <f t="shared" si="1"/>
        <v>220143093.0104568</v>
      </c>
      <c r="H28" s="6">
        <f t="shared" si="2"/>
        <v>226885989.79013047</v>
      </c>
      <c r="I28" s="6">
        <f t="shared" si="3"/>
        <v>11007154.650522839</v>
      </c>
      <c r="J28" s="6">
        <f t="shared" si="4"/>
        <v>11007154.650522839</v>
      </c>
      <c r="K28" s="6">
        <f t="shared" si="5"/>
        <v>11344299.489506524</v>
      </c>
      <c r="L28" s="6">
        <f t="shared" si="6"/>
        <v>226032292.60490313</v>
      </c>
      <c r="M28" s="6">
        <f t="shared" si="7"/>
        <v>11301614.630245157</v>
      </c>
      <c r="N28" s="6"/>
      <c r="O28" s="10">
        <f t="shared" si="8"/>
        <v>222.39072527034804</v>
      </c>
      <c r="P28" s="10">
        <f t="shared" si="9"/>
        <v>11.1195362635174</v>
      </c>
      <c r="Q28" s="10">
        <f t="shared" si="10"/>
        <v>226.03229260490312</v>
      </c>
      <c r="R28" s="10">
        <f t="shared" si="10"/>
        <v>11.301614630245156</v>
      </c>
      <c r="S28" s="6"/>
    </row>
    <row r="29" spans="1:19" x14ac:dyDescent="0.25">
      <c r="A29">
        <v>21</v>
      </c>
      <c r="B29" s="1">
        <f t="shared" si="11"/>
        <v>2100000000</v>
      </c>
      <c r="C29" s="1">
        <v>18190</v>
      </c>
      <c r="D29" s="1">
        <v>18190</v>
      </c>
      <c r="E29" s="1">
        <v>23340</v>
      </c>
      <c r="F29" s="6">
        <f t="shared" si="0"/>
        <v>230896096.75645959</v>
      </c>
      <c r="G29" s="6">
        <f t="shared" si="1"/>
        <v>230896096.75645959</v>
      </c>
      <c r="H29" s="6">
        <f t="shared" si="2"/>
        <v>179948586.11825192</v>
      </c>
      <c r="I29" s="6">
        <f t="shared" si="3"/>
        <v>10995052.226498077</v>
      </c>
      <c r="J29" s="6">
        <f t="shared" si="4"/>
        <v>10995052.226498077</v>
      </c>
      <c r="K29" s="6">
        <f t="shared" si="5"/>
        <v>8568980.29134533</v>
      </c>
      <c r="L29" s="6">
        <f t="shared" si="6"/>
        <v>237333907.23514828</v>
      </c>
      <c r="M29" s="6">
        <f t="shared" si="7"/>
        <v>11301614.630245157</v>
      </c>
      <c r="N29" s="6"/>
      <c r="O29" s="10">
        <f t="shared" si="8"/>
        <v>213.91359321039036</v>
      </c>
      <c r="P29" s="10">
        <f t="shared" si="9"/>
        <v>10.186361581447162</v>
      </c>
      <c r="Q29" s="10">
        <f t="shared" si="10"/>
        <v>237.33390723514827</v>
      </c>
      <c r="R29" s="10">
        <f t="shared" si="10"/>
        <v>11.301614630245156</v>
      </c>
      <c r="S29" s="6"/>
    </row>
    <row r="30" spans="1:19" x14ac:dyDescent="0.25">
      <c r="A30">
        <v>22</v>
      </c>
      <c r="B30" s="1">
        <f t="shared" si="11"/>
        <v>2200000000</v>
      </c>
      <c r="C30" s="1">
        <v>18050</v>
      </c>
      <c r="D30" s="1">
        <v>18050</v>
      </c>
      <c r="E30" s="1">
        <v>17910</v>
      </c>
      <c r="F30" s="6">
        <f t="shared" si="0"/>
        <v>243767313.01939055</v>
      </c>
      <c r="G30" s="6">
        <f t="shared" si="1"/>
        <v>243767313.01939055</v>
      </c>
      <c r="H30" s="6">
        <f t="shared" si="2"/>
        <v>245672808.48687884</v>
      </c>
      <c r="I30" s="6">
        <f t="shared" si="3"/>
        <v>11080332.409972297</v>
      </c>
      <c r="J30" s="6">
        <f t="shared" si="4"/>
        <v>11080332.409972297</v>
      </c>
      <c r="K30" s="6">
        <f t="shared" si="5"/>
        <v>11166945.840312675</v>
      </c>
      <c r="L30" s="6">
        <f t="shared" si="6"/>
        <v>248635521.86539346</v>
      </c>
      <c r="M30" s="6">
        <f t="shared" si="7"/>
        <v>11301614.630245157</v>
      </c>
      <c r="N30" s="6"/>
      <c r="O30" s="10">
        <f t="shared" si="8"/>
        <v>244.40247817521998</v>
      </c>
      <c r="P30" s="10">
        <f t="shared" si="9"/>
        <v>11.109203553419089</v>
      </c>
      <c r="Q30" s="10">
        <f t="shared" si="10"/>
        <v>248.63552186539346</v>
      </c>
      <c r="R30" s="10">
        <f t="shared" si="10"/>
        <v>11.301614630245156</v>
      </c>
      <c r="S30" s="6"/>
    </row>
    <row r="31" spans="1:19" x14ac:dyDescent="0.25">
      <c r="A31">
        <v>23</v>
      </c>
      <c r="B31" s="1">
        <f t="shared" si="11"/>
        <v>2300000000</v>
      </c>
      <c r="C31" s="1">
        <v>18360</v>
      </c>
      <c r="D31" s="1">
        <v>18360</v>
      </c>
      <c r="E31" s="1">
        <v>18080</v>
      </c>
      <c r="F31" s="6">
        <f t="shared" si="0"/>
        <v>250544662.30936819</v>
      </c>
      <c r="G31" s="6">
        <f t="shared" si="1"/>
        <v>250544662.30936819</v>
      </c>
      <c r="H31" s="6">
        <f t="shared" si="2"/>
        <v>254424778.76106197</v>
      </c>
      <c r="I31" s="6">
        <f t="shared" si="3"/>
        <v>10893246.187363835</v>
      </c>
      <c r="J31" s="6">
        <f t="shared" si="4"/>
        <v>10893246.187363835</v>
      </c>
      <c r="K31" s="6">
        <f t="shared" si="5"/>
        <v>11061946.902654868</v>
      </c>
      <c r="L31" s="6">
        <f t="shared" si="6"/>
        <v>259937136.49563861</v>
      </c>
      <c r="M31" s="6">
        <f t="shared" si="7"/>
        <v>11301614.630245157</v>
      </c>
      <c r="N31" s="6"/>
      <c r="O31" s="10">
        <f t="shared" si="8"/>
        <v>251.8380344599328</v>
      </c>
      <c r="P31" s="10">
        <f t="shared" si="9"/>
        <v>10.949479759127513</v>
      </c>
      <c r="Q31" s="10">
        <f t="shared" si="10"/>
        <v>259.93713649563858</v>
      </c>
      <c r="R31" s="10">
        <f t="shared" si="10"/>
        <v>11.301614630245156</v>
      </c>
      <c r="S31" s="6"/>
    </row>
    <row r="32" spans="1:19" x14ac:dyDescent="0.25">
      <c r="A32">
        <v>24</v>
      </c>
      <c r="B32" s="1">
        <f t="shared" si="11"/>
        <v>2400000000</v>
      </c>
      <c r="C32" s="1">
        <v>22170</v>
      </c>
      <c r="D32" s="1">
        <v>22170</v>
      </c>
      <c r="E32" s="1">
        <v>18030</v>
      </c>
      <c r="F32" s="6">
        <f t="shared" si="0"/>
        <v>216508795.66982409</v>
      </c>
      <c r="G32" s="6">
        <f t="shared" si="1"/>
        <v>216508795.66982409</v>
      </c>
      <c r="H32" s="6">
        <f t="shared" si="2"/>
        <v>266222961.73044923</v>
      </c>
      <c r="I32" s="6">
        <f t="shared" si="3"/>
        <v>9021199.8195760045</v>
      </c>
      <c r="J32" s="6">
        <f t="shared" si="4"/>
        <v>9021199.8195760045</v>
      </c>
      <c r="K32" s="6">
        <f t="shared" si="5"/>
        <v>11092623.405435385</v>
      </c>
      <c r="L32" s="6">
        <f t="shared" si="6"/>
        <v>271238751.12588376</v>
      </c>
      <c r="M32" s="6">
        <f t="shared" si="7"/>
        <v>11301614.630245157</v>
      </c>
      <c r="N32" s="6"/>
      <c r="O32" s="10">
        <f t="shared" si="8"/>
        <v>233.08018435669914</v>
      </c>
      <c r="P32" s="10">
        <f t="shared" si="9"/>
        <v>9.7116743481957979</v>
      </c>
      <c r="Q32" s="10">
        <f t="shared" si="10"/>
        <v>271.23875112588377</v>
      </c>
      <c r="R32" s="10">
        <f t="shared" si="10"/>
        <v>11.301614630245156</v>
      </c>
      <c r="S32" s="6"/>
    </row>
    <row r="33" spans="1:19" x14ac:dyDescent="0.25">
      <c r="A33">
        <v>25</v>
      </c>
      <c r="B33" s="1">
        <f t="shared" si="11"/>
        <v>2500000000</v>
      </c>
      <c r="C33" s="1">
        <v>18150</v>
      </c>
      <c r="D33" s="1">
        <v>18150</v>
      </c>
      <c r="E33" s="1">
        <v>21980</v>
      </c>
      <c r="F33" s="6">
        <f t="shared" si="0"/>
        <v>275482093.66391188</v>
      </c>
      <c r="G33" s="6">
        <f t="shared" si="1"/>
        <v>275482093.66391188</v>
      </c>
      <c r="H33" s="6">
        <f t="shared" si="2"/>
        <v>227479526.84258416</v>
      </c>
      <c r="I33" s="6">
        <f t="shared" si="3"/>
        <v>11019283.746556476</v>
      </c>
      <c r="J33" s="6">
        <f t="shared" si="4"/>
        <v>11019283.746556476</v>
      </c>
      <c r="K33" s="6">
        <f t="shared" si="5"/>
        <v>9099181.0737033673</v>
      </c>
      <c r="L33" s="6">
        <f t="shared" si="6"/>
        <v>282540365.75612891</v>
      </c>
      <c r="M33" s="6">
        <f t="shared" si="7"/>
        <v>11301614.630245157</v>
      </c>
      <c r="N33" s="6"/>
      <c r="O33" s="10">
        <f t="shared" si="8"/>
        <v>259.48123805680262</v>
      </c>
      <c r="P33" s="10">
        <f t="shared" si="9"/>
        <v>10.379249522272106</v>
      </c>
      <c r="Q33" s="10">
        <f t="shared" si="10"/>
        <v>282.54036575612889</v>
      </c>
      <c r="R33" s="10">
        <f t="shared" si="10"/>
        <v>11.301614630245156</v>
      </c>
      <c r="S33" s="6"/>
    </row>
    <row r="34" spans="1:19" x14ac:dyDescent="0.25">
      <c r="A34">
        <v>26</v>
      </c>
      <c r="B34" s="1">
        <f t="shared" si="11"/>
        <v>2600000000</v>
      </c>
      <c r="C34" s="1">
        <v>18050</v>
      </c>
      <c r="D34" s="1">
        <v>18050</v>
      </c>
      <c r="E34" s="1">
        <v>18060</v>
      </c>
      <c r="F34" s="6">
        <f t="shared" si="0"/>
        <v>288088642.65927976</v>
      </c>
      <c r="G34" s="6">
        <f t="shared" si="1"/>
        <v>288088642.65927976</v>
      </c>
      <c r="H34" s="6">
        <f t="shared" si="2"/>
        <v>287929125.1384275</v>
      </c>
      <c r="I34" s="6">
        <f t="shared" si="3"/>
        <v>11080332.409972299</v>
      </c>
      <c r="J34" s="6">
        <f t="shared" si="4"/>
        <v>11080332.409972299</v>
      </c>
      <c r="K34" s="6">
        <f t="shared" si="5"/>
        <v>11074197.120708751</v>
      </c>
      <c r="L34" s="6">
        <f t="shared" si="6"/>
        <v>293841980.38637406</v>
      </c>
      <c r="M34" s="6">
        <f t="shared" si="7"/>
        <v>11301614.630245157</v>
      </c>
      <c r="N34" s="6"/>
      <c r="O34" s="10">
        <f t="shared" si="8"/>
        <v>288.03547015232903</v>
      </c>
      <c r="P34" s="10">
        <f t="shared" si="9"/>
        <v>11.078287313551115</v>
      </c>
      <c r="Q34" s="10">
        <f t="shared" si="10"/>
        <v>293.84198038637408</v>
      </c>
      <c r="R34" s="10">
        <f t="shared" si="10"/>
        <v>11.301614630245156</v>
      </c>
      <c r="S34" s="6"/>
    </row>
    <row r="35" spans="1:19" x14ac:dyDescent="0.25">
      <c r="A35">
        <v>27</v>
      </c>
      <c r="B35" s="1">
        <f t="shared" si="11"/>
        <v>2700000000</v>
      </c>
      <c r="C35" s="1">
        <v>18230</v>
      </c>
      <c r="D35" s="1">
        <v>18230</v>
      </c>
      <c r="E35" s="1">
        <v>18020</v>
      </c>
      <c r="F35" s="6">
        <f t="shared" si="0"/>
        <v>296215030.17004937</v>
      </c>
      <c r="G35" s="6">
        <f t="shared" si="1"/>
        <v>296215030.17004937</v>
      </c>
      <c r="H35" s="6">
        <f t="shared" si="2"/>
        <v>299667036.62597114</v>
      </c>
      <c r="I35" s="6">
        <f t="shared" si="3"/>
        <v>10970927.043335162</v>
      </c>
      <c r="J35" s="6">
        <f t="shared" si="4"/>
        <v>10970927.043335162</v>
      </c>
      <c r="K35" s="6">
        <f t="shared" si="5"/>
        <v>11098779.134295227</v>
      </c>
      <c r="L35" s="6">
        <f t="shared" si="6"/>
        <v>305143595.01661921</v>
      </c>
      <c r="M35" s="6">
        <f t="shared" si="7"/>
        <v>11301614.630245157</v>
      </c>
      <c r="N35" s="6"/>
      <c r="O35" s="10">
        <f t="shared" si="8"/>
        <v>297.36569898868999</v>
      </c>
      <c r="P35" s="10">
        <f t="shared" si="9"/>
        <v>11.013544406988517</v>
      </c>
      <c r="Q35" s="10">
        <f t="shared" si="10"/>
        <v>305.1435950166192</v>
      </c>
      <c r="R35" s="10">
        <f t="shared" si="10"/>
        <v>11.301614630245156</v>
      </c>
      <c r="S35" s="6"/>
    </row>
    <row r="36" spans="1:19" x14ac:dyDescent="0.25">
      <c r="A36">
        <v>28</v>
      </c>
      <c r="B36" s="1">
        <f t="shared" si="11"/>
        <v>2800000000</v>
      </c>
      <c r="C36" s="1">
        <v>21280</v>
      </c>
      <c r="D36" s="1">
        <v>21280</v>
      </c>
      <c r="E36" s="1">
        <v>18120</v>
      </c>
      <c r="F36" s="6">
        <f t="shared" si="0"/>
        <v>263157894.73684207</v>
      </c>
      <c r="G36" s="6">
        <f t="shared" si="1"/>
        <v>263157894.73684207</v>
      </c>
      <c r="H36" s="6">
        <f t="shared" si="2"/>
        <v>309050772.62693155</v>
      </c>
      <c r="I36" s="6">
        <f t="shared" si="3"/>
        <v>9398496.2406015024</v>
      </c>
      <c r="J36" s="6">
        <f t="shared" si="4"/>
        <v>9398496.2406015024</v>
      </c>
      <c r="K36" s="6">
        <f t="shared" si="5"/>
        <v>11037527.593818983</v>
      </c>
      <c r="L36" s="6">
        <f t="shared" si="6"/>
        <v>316445209.64686441</v>
      </c>
      <c r="M36" s="6">
        <f t="shared" si="7"/>
        <v>11301614.630245158</v>
      </c>
      <c r="N36" s="6"/>
      <c r="O36" s="10">
        <f t="shared" si="8"/>
        <v>278.45552070020528</v>
      </c>
      <c r="P36" s="10">
        <f t="shared" si="9"/>
        <v>9.9448400250073306</v>
      </c>
      <c r="Q36" s="10">
        <f t="shared" si="10"/>
        <v>316.44520964686444</v>
      </c>
      <c r="R36" s="10">
        <f t="shared" si="10"/>
        <v>11.301614630245158</v>
      </c>
      <c r="S36" s="6"/>
    </row>
    <row r="37" spans="1:19" x14ac:dyDescent="0.25">
      <c r="A37">
        <v>29</v>
      </c>
      <c r="B37" s="1">
        <f t="shared" si="11"/>
        <v>2900000000</v>
      </c>
      <c r="C37" s="1">
        <v>18110</v>
      </c>
      <c r="D37" s="1">
        <v>18110</v>
      </c>
      <c r="E37" s="1">
        <v>21230</v>
      </c>
      <c r="F37" s="6">
        <f t="shared" si="0"/>
        <v>320265046.93539482</v>
      </c>
      <c r="G37" s="6">
        <f t="shared" si="1"/>
        <v>320265046.93539482</v>
      </c>
      <c r="H37" s="6">
        <f t="shared" si="2"/>
        <v>273198304.28638715</v>
      </c>
      <c r="I37" s="6">
        <f t="shared" si="3"/>
        <v>11043622.308117064</v>
      </c>
      <c r="J37" s="6">
        <f t="shared" si="4"/>
        <v>11043622.308117064</v>
      </c>
      <c r="K37" s="6">
        <f t="shared" si="5"/>
        <v>9420631.1822892111</v>
      </c>
      <c r="L37" s="6">
        <f t="shared" si="6"/>
        <v>327746824.27710956</v>
      </c>
      <c r="M37" s="6">
        <f t="shared" si="7"/>
        <v>11301614.630245157</v>
      </c>
      <c r="N37" s="6"/>
      <c r="O37" s="10">
        <f t="shared" si="8"/>
        <v>304.57613271905893</v>
      </c>
      <c r="P37" s="10">
        <f t="shared" si="9"/>
        <v>10.502625266174444</v>
      </c>
      <c r="Q37" s="10">
        <f t="shared" si="10"/>
        <v>327.74682427710957</v>
      </c>
      <c r="R37" s="10">
        <f t="shared" si="10"/>
        <v>11.301614630245156</v>
      </c>
      <c r="S37" s="6"/>
    </row>
    <row r="38" spans="1:19" x14ac:dyDescent="0.25">
      <c r="A38">
        <v>30</v>
      </c>
      <c r="B38" s="1">
        <f t="shared" si="11"/>
        <v>3000000000</v>
      </c>
      <c r="C38" s="1">
        <v>20750</v>
      </c>
      <c r="D38" s="1">
        <v>20750</v>
      </c>
      <c r="E38" s="1">
        <v>23300</v>
      </c>
      <c r="F38" s="6">
        <f t="shared" si="0"/>
        <v>289156626.50602412</v>
      </c>
      <c r="G38" s="6">
        <f t="shared" si="1"/>
        <v>289156626.50602412</v>
      </c>
      <c r="H38" s="6">
        <f t="shared" si="2"/>
        <v>257510729.61373392</v>
      </c>
      <c r="I38" s="6">
        <f t="shared" si="3"/>
        <v>9638554.2168674711</v>
      </c>
      <c r="J38" s="6">
        <f t="shared" si="4"/>
        <v>9638554.2168674711</v>
      </c>
      <c r="K38" s="6">
        <f t="shared" si="5"/>
        <v>8583690.9871244635</v>
      </c>
      <c r="L38" s="6">
        <f t="shared" si="6"/>
        <v>339048438.90735471</v>
      </c>
      <c r="M38" s="6">
        <f t="shared" si="7"/>
        <v>11301614.630245157</v>
      </c>
      <c r="N38" s="6"/>
      <c r="O38" s="10">
        <f t="shared" si="8"/>
        <v>278.60799420859405</v>
      </c>
      <c r="P38" s="10">
        <f t="shared" si="9"/>
        <v>9.2869331402864681</v>
      </c>
      <c r="Q38" s="10">
        <f t="shared" si="10"/>
        <v>339.04843890735469</v>
      </c>
      <c r="R38" s="10">
        <f t="shared" si="10"/>
        <v>11.301614630245156</v>
      </c>
      <c r="S38" s="6"/>
    </row>
    <row r="39" spans="1:19" x14ac:dyDescent="0.25">
      <c r="A39">
        <v>31</v>
      </c>
      <c r="B39" s="1">
        <f t="shared" si="11"/>
        <v>3100000000</v>
      </c>
      <c r="C39" s="1">
        <v>18250</v>
      </c>
      <c r="D39" s="1">
        <v>18250</v>
      </c>
      <c r="E39" s="1">
        <v>18700</v>
      </c>
      <c r="F39" s="6">
        <f t="shared" si="0"/>
        <v>339726027.39726031</v>
      </c>
      <c r="G39" s="6">
        <f t="shared" si="1"/>
        <v>339726027.39726031</v>
      </c>
      <c r="H39" s="6">
        <f t="shared" si="2"/>
        <v>331550802.13903743</v>
      </c>
      <c r="I39" s="6">
        <f t="shared" si="3"/>
        <v>10958904.109589042</v>
      </c>
      <c r="J39" s="6">
        <f t="shared" si="4"/>
        <v>10958904.109589042</v>
      </c>
      <c r="K39" s="6">
        <f t="shared" si="5"/>
        <v>10695187.165775402</v>
      </c>
      <c r="L39" s="6">
        <f t="shared" si="6"/>
        <v>350350053.53759986</v>
      </c>
      <c r="M39" s="6">
        <f t="shared" si="7"/>
        <v>11301614.630245157</v>
      </c>
      <c r="N39" s="6"/>
      <c r="O39" s="10">
        <f t="shared" si="8"/>
        <v>337.00095231118604</v>
      </c>
      <c r="P39" s="10">
        <f t="shared" si="9"/>
        <v>10.870998461651162</v>
      </c>
      <c r="Q39" s="10">
        <f t="shared" si="10"/>
        <v>350.35005353759988</v>
      </c>
      <c r="R39" s="10">
        <f t="shared" si="10"/>
        <v>11.301614630245156</v>
      </c>
      <c r="S39" s="6"/>
    </row>
    <row r="40" spans="1:19" x14ac:dyDescent="0.25">
      <c r="A40">
        <v>32</v>
      </c>
      <c r="B40" s="1">
        <f t="shared" si="11"/>
        <v>3200000000</v>
      </c>
      <c r="C40" s="1">
        <v>18530</v>
      </c>
      <c r="D40" s="1">
        <v>18530</v>
      </c>
      <c r="E40" s="1">
        <v>28940</v>
      </c>
      <c r="F40" s="6">
        <f t="shared" si="0"/>
        <v>345385860.76632488</v>
      </c>
      <c r="G40" s="6">
        <f t="shared" si="1"/>
        <v>345385860.76632488</v>
      </c>
      <c r="H40" s="6">
        <f t="shared" si="2"/>
        <v>221147201.10573599</v>
      </c>
      <c r="I40" s="6">
        <f t="shared" si="3"/>
        <v>10793308.148947652</v>
      </c>
      <c r="J40" s="6">
        <f t="shared" si="4"/>
        <v>10793308.148947652</v>
      </c>
      <c r="K40" s="6">
        <f t="shared" si="5"/>
        <v>6910850.0345542496</v>
      </c>
      <c r="L40" s="6">
        <f t="shared" si="6"/>
        <v>361651668.16784501</v>
      </c>
      <c r="M40" s="6">
        <f t="shared" si="7"/>
        <v>11301614.630245157</v>
      </c>
      <c r="N40" s="6"/>
      <c r="O40" s="10">
        <f t="shared" si="8"/>
        <v>303.97297421279524</v>
      </c>
      <c r="P40" s="10">
        <f t="shared" si="9"/>
        <v>9.4991554441498511</v>
      </c>
      <c r="Q40" s="10">
        <f t="shared" si="10"/>
        <v>361.651668167845</v>
      </c>
      <c r="R40" s="10">
        <f t="shared" si="10"/>
        <v>11.301614630245156</v>
      </c>
      <c r="S40" s="6"/>
    </row>
    <row r="41" spans="1:19" x14ac:dyDescent="0.25">
      <c r="A41">
        <v>33</v>
      </c>
      <c r="B41" s="1">
        <f t="shared" si="11"/>
        <v>3300000000</v>
      </c>
      <c r="C41" s="1">
        <v>22540</v>
      </c>
      <c r="D41" s="1">
        <v>22540</v>
      </c>
      <c r="E41" s="1">
        <v>20090</v>
      </c>
      <c r="F41" s="6">
        <f t="shared" si="0"/>
        <v>292812777.28482699</v>
      </c>
      <c r="G41" s="6">
        <f t="shared" si="1"/>
        <v>292812777.28482699</v>
      </c>
      <c r="H41" s="6">
        <f t="shared" si="2"/>
        <v>328521652.5634644</v>
      </c>
      <c r="I41" s="6">
        <f t="shared" si="3"/>
        <v>8873114.4631765764</v>
      </c>
      <c r="J41" s="6">
        <f t="shared" si="4"/>
        <v>8873114.4631765764</v>
      </c>
      <c r="K41" s="6">
        <f t="shared" si="5"/>
        <v>9955201.5928322542</v>
      </c>
      <c r="L41" s="6">
        <f>$L$40+$L$9*(A41-32)*40%</f>
        <v>366172314.01994306</v>
      </c>
      <c r="M41" s="6">
        <f t="shared" si="7"/>
        <v>11096130.727877062</v>
      </c>
      <c r="N41" s="6"/>
      <c r="O41" s="10">
        <f t="shared" si="8"/>
        <v>304.71573571103949</v>
      </c>
      <c r="P41" s="10">
        <f t="shared" si="9"/>
        <v>9.2338101730618032</v>
      </c>
      <c r="Q41" s="10">
        <f t="shared" si="10"/>
        <v>366.17231401994303</v>
      </c>
      <c r="R41" s="10">
        <f t="shared" si="10"/>
        <v>11.096130727877062</v>
      </c>
      <c r="S41" s="6"/>
    </row>
    <row r="42" spans="1:19" x14ac:dyDescent="0.25">
      <c r="A42">
        <v>34</v>
      </c>
      <c r="B42" s="1">
        <f t="shared" si="11"/>
        <v>3400000000</v>
      </c>
      <c r="C42" s="1">
        <v>83450</v>
      </c>
      <c r="D42" s="1">
        <v>83450</v>
      </c>
      <c r="E42" s="1">
        <v>22250</v>
      </c>
      <c r="F42" s="6">
        <f t="shared" si="0"/>
        <v>81485919.712402642</v>
      </c>
      <c r="G42" s="6">
        <f t="shared" si="1"/>
        <v>81485919.712402642</v>
      </c>
      <c r="H42" s="6">
        <f t="shared" si="2"/>
        <v>305617977.52808988</v>
      </c>
      <c r="I42" s="6">
        <f t="shared" si="3"/>
        <v>2396644.6974236071</v>
      </c>
      <c r="J42" s="6">
        <f t="shared" si="4"/>
        <v>2396644.6974236071</v>
      </c>
      <c r="K42" s="6">
        <f t="shared" si="5"/>
        <v>8988764.0449438207</v>
      </c>
      <c r="L42" s="6">
        <f t="shared" ref="L42:L72" si="12">$L$40+$L$9*(A42-32)*40%</f>
        <v>370692959.87204111</v>
      </c>
      <c r="M42" s="6">
        <f t="shared" si="7"/>
        <v>10902734.113883562</v>
      </c>
      <c r="N42" s="6"/>
      <c r="O42" s="10">
        <f t="shared" si="8"/>
        <v>156.19660565096507</v>
      </c>
      <c r="P42" s="10">
        <f t="shared" si="9"/>
        <v>4.5940178132636778</v>
      </c>
      <c r="Q42" s="10">
        <f t="shared" si="10"/>
        <v>370.69295987204111</v>
      </c>
      <c r="R42" s="10">
        <f t="shared" si="10"/>
        <v>10.902734113883563</v>
      </c>
      <c r="S42" s="6"/>
    </row>
    <row r="43" spans="1:19" x14ac:dyDescent="0.25">
      <c r="A43">
        <v>35</v>
      </c>
      <c r="B43" s="1">
        <f t="shared" si="11"/>
        <v>3500000000</v>
      </c>
      <c r="C43" s="1">
        <v>22400</v>
      </c>
      <c r="D43" s="1">
        <v>22400</v>
      </c>
      <c r="E43" s="1">
        <v>121820</v>
      </c>
      <c r="F43" s="6">
        <f t="shared" si="0"/>
        <v>312500000</v>
      </c>
      <c r="G43" s="6">
        <f t="shared" si="1"/>
        <v>312500000</v>
      </c>
      <c r="H43" s="6">
        <f t="shared" si="2"/>
        <v>57461828.927926451</v>
      </c>
      <c r="I43" s="6">
        <f t="shared" si="3"/>
        <v>8928571.4285714291</v>
      </c>
      <c r="J43" s="6">
        <f t="shared" si="4"/>
        <v>8928571.4285714291</v>
      </c>
      <c r="K43" s="6">
        <f t="shared" si="5"/>
        <v>1641766.5407978985</v>
      </c>
      <c r="L43" s="6">
        <f t="shared" si="12"/>
        <v>375213605.72413921</v>
      </c>
      <c r="M43" s="6">
        <f t="shared" si="7"/>
        <v>10720388.734975407</v>
      </c>
      <c r="N43" s="6"/>
      <c r="O43" s="10">
        <f t="shared" si="8"/>
        <v>227.48727630930881</v>
      </c>
      <c r="P43" s="10">
        <f t="shared" si="9"/>
        <v>6.4996364659802515</v>
      </c>
      <c r="Q43" s="10">
        <f t="shared" si="10"/>
        <v>375.2136057241392</v>
      </c>
      <c r="R43" s="10">
        <f t="shared" si="10"/>
        <v>10.720388734975407</v>
      </c>
      <c r="S43" s="6"/>
    </row>
    <row r="44" spans="1:19" x14ac:dyDescent="0.25">
      <c r="A44">
        <v>36</v>
      </c>
      <c r="B44" s="1">
        <f t="shared" si="11"/>
        <v>3600000000</v>
      </c>
      <c r="C44" s="1">
        <v>109710</v>
      </c>
      <c r="D44" s="1">
        <v>109710</v>
      </c>
      <c r="E44" s="1">
        <v>22690</v>
      </c>
      <c r="F44" s="6">
        <f t="shared" si="0"/>
        <v>65627563.576702215</v>
      </c>
      <c r="G44" s="6">
        <f t="shared" si="1"/>
        <v>65627563.576702215</v>
      </c>
      <c r="H44" s="6">
        <f t="shared" si="2"/>
        <v>317320405.46496254</v>
      </c>
      <c r="I44" s="6">
        <f t="shared" si="3"/>
        <v>1822987.8771306172</v>
      </c>
      <c r="J44" s="6">
        <f t="shared" si="4"/>
        <v>1822987.8771306172</v>
      </c>
      <c r="K44" s="6">
        <f t="shared" si="5"/>
        <v>8814455.7073600702</v>
      </c>
      <c r="L44" s="6">
        <f t="shared" si="12"/>
        <v>379734251.57623726</v>
      </c>
      <c r="M44" s="6">
        <f t="shared" si="7"/>
        <v>10548173.654895479</v>
      </c>
      <c r="N44" s="6"/>
      <c r="O44" s="10">
        <f t="shared" si="8"/>
        <v>149.52517753945565</v>
      </c>
      <c r="P44" s="10">
        <f t="shared" si="9"/>
        <v>4.1534771538737685</v>
      </c>
      <c r="Q44" s="10">
        <f t="shared" si="10"/>
        <v>379.73425157623728</v>
      </c>
      <c r="R44" s="10">
        <f t="shared" si="10"/>
        <v>10.548173654895479</v>
      </c>
      <c r="S44" s="6"/>
    </row>
    <row r="45" spans="1:19" x14ac:dyDescent="0.25">
      <c r="A45">
        <v>37</v>
      </c>
      <c r="B45" s="1">
        <f t="shared" si="11"/>
        <v>3700000000</v>
      </c>
      <c r="C45" s="1">
        <v>22940</v>
      </c>
      <c r="D45" s="1">
        <v>22940</v>
      </c>
      <c r="E45" s="1">
        <v>22560</v>
      </c>
      <c r="F45" s="6">
        <f t="shared" si="0"/>
        <v>322580645.16129029</v>
      </c>
      <c r="G45" s="6">
        <f t="shared" si="1"/>
        <v>322580645.16129029</v>
      </c>
      <c r="H45" s="6">
        <f t="shared" si="2"/>
        <v>328014184.39716309</v>
      </c>
      <c r="I45" s="6">
        <f t="shared" si="3"/>
        <v>8718395.8151700087</v>
      </c>
      <c r="J45" s="6">
        <f t="shared" si="4"/>
        <v>8718395.8151700087</v>
      </c>
      <c r="K45" s="6">
        <f t="shared" si="5"/>
        <v>8865248.226950353</v>
      </c>
      <c r="L45" s="6">
        <f t="shared" si="12"/>
        <v>384254897.42833531</v>
      </c>
      <c r="M45" s="6">
        <f t="shared" si="7"/>
        <v>10385267.498063117</v>
      </c>
      <c r="N45" s="6"/>
      <c r="O45" s="10">
        <f t="shared" si="8"/>
        <v>324.39182490658123</v>
      </c>
      <c r="P45" s="10">
        <f t="shared" si="9"/>
        <v>8.7673466190967915</v>
      </c>
      <c r="Q45" s="10">
        <f t="shared" si="10"/>
        <v>384.25489742833531</v>
      </c>
      <c r="R45" s="10">
        <f t="shared" si="10"/>
        <v>10.385267498063117</v>
      </c>
      <c r="S45" s="6"/>
    </row>
    <row r="46" spans="1:19" x14ac:dyDescent="0.25">
      <c r="A46">
        <v>38</v>
      </c>
      <c r="B46" s="1">
        <f t="shared" si="11"/>
        <v>3800000000</v>
      </c>
      <c r="C46" s="1">
        <v>22460</v>
      </c>
      <c r="D46" s="1">
        <v>22460</v>
      </c>
      <c r="E46" s="1">
        <v>22420</v>
      </c>
      <c r="F46" s="6">
        <f t="shared" si="0"/>
        <v>338379341.05075693</v>
      </c>
      <c r="G46" s="6">
        <f t="shared" si="1"/>
        <v>338379341.05075693</v>
      </c>
      <c r="H46" s="6">
        <f t="shared" si="2"/>
        <v>338983050.84745759</v>
      </c>
      <c r="I46" s="6">
        <f t="shared" si="3"/>
        <v>8904719.5013357084</v>
      </c>
      <c r="J46" s="6">
        <f t="shared" si="4"/>
        <v>8904719.5013357084</v>
      </c>
      <c r="K46" s="6">
        <f t="shared" si="5"/>
        <v>8920606.6012488846</v>
      </c>
      <c r="L46" s="6">
        <f t="shared" si="12"/>
        <v>388775543.28043342</v>
      </c>
      <c r="M46" s="6">
        <f t="shared" si="7"/>
        <v>10230935.34948509</v>
      </c>
      <c r="N46" s="6"/>
      <c r="O46" s="10">
        <f t="shared" si="8"/>
        <v>338.58057764965719</v>
      </c>
      <c r="P46" s="10">
        <f t="shared" si="9"/>
        <v>8.9100152013067682</v>
      </c>
      <c r="Q46" s="10">
        <f t="shared" si="10"/>
        <v>388.7755432804334</v>
      </c>
      <c r="R46" s="10">
        <f t="shared" si="10"/>
        <v>10.23093534948509</v>
      </c>
      <c r="S46" s="6"/>
    </row>
    <row r="47" spans="1:19" x14ac:dyDescent="0.25">
      <c r="A47">
        <v>39</v>
      </c>
      <c r="B47" s="1">
        <f t="shared" si="11"/>
        <v>3900000000</v>
      </c>
      <c r="C47" s="1">
        <v>22720</v>
      </c>
      <c r="D47" s="1">
        <v>22720</v>
      </c>
      <c r="E47" s="1">
        <v>22960</v>
      </c>
      <c r="F47" s="6">
        <f t="shared" si="0"/>
        <v>343309859.15492958</v>
      </c>
      <c r="G47" s="6">
        <f t="shared" si="1"/>
        <v>343309859.15492958</v>
      </c>
      <c r="H47" s="6">
        <f t="shared" si="2"/>
        <v>339721254.35540068</v>
      </c>
      <c r="I47" s="6">
        <f t="shared" si="3"/>
        <v>8802816.9014084507</v>
      </c>
      <c r="J47" s="6">
        <f t="shared" si="4"/>
        <v>8802816.9014084507</v>
      </c>
      <c r="K47" s="6">
        <f t="shared" si="5"/>
        <v>8710801.3937282227</v>
      </c>
      <c r="L47" s="6">
        <f t="shared" si="12"/>
        <v>393296189.13253146</v>
      </c>
      <c r="M47" s="6">
        <f t="shared" si="7"/>
        <v>10084517.670064909</v>
      </c>
      <c r="N47" s="6"/>
      <c r="O47" s="10">
        <f t="shared" si="8"/>
        <v>342.1136575550866</v>
      </c>
      <c r="P47" s="10">
        <f t="shared" si="9"/>
        <v>8.7721450655150406</v>
      </c>
      <c r="Q47" s="10">
        <f t="shared" si="10"/>
        <v>393.29618913253148</v>
      </c>
      <c r="R47" s="10">
        <f t="shared" si="10"/>
        <v>10.08451767006491</v>
      </c>
      <c r="S47" s="6"/>
    </row>
    <row r="48" spans="1:19" x14ac:dyDescent="0.25">
      <c r="A48">
        <v>40</v>
      </c>
      <c r="B48" s="1">
        <f t="shared" si="11"/>
        <v>4000000000</v>
      </c>
      <c r="C48" s="1">
        <v>205940</v>
      </c>
      <c r="D48" s="1">
        <v>205940</v>
      </c>
      <c r="E48" s="1">
        <v>23100</v>
      </c>
      <c r="F48" s="6">
        <f t="shared" si="0"/>
        <v>38846265.902690105</v>
      </c>
      <c r="G48" s="6">
        <f t="shared" si="1"/>
        <v>38846265.902690105</v>
      </c>
      <c r="H48" s="6">
        <f t="shared" si="2"/>
        <v>346320346.32034636</v>
      </c>
      <c r="I48" s="6">
        <f t="shared" si="3"/>
        <v>971156.64756725263</v>
      </c>
      <c r="J48" s="6">
        <f t="shared" si="4"/>
        <v>971156.64756725263</v>
      </c>
      <c r="K48" s="6">
        <f t="shared" si="5"/>
        <v>8658008.6580086593</v>
      </c>
      <c r="L48" s="6">
        <f t="shared" si="12"/>
        <v>397816834.98462951</v>
      </c>
      <c r="M48" s="6">
        <f t="shared" si="7"/>
        <v>9945420.8746157382</v>
      </c>
      <c r="N48" s="6"/>
      <c r="O48" s="10">
        <f t="shared" si="8"/>
        <v>141.33762604190886</v>
      </c>
      <c r="P48" s="10">
        <f t="shared" si="9"/>
        <v>3.5334406510477216</v>
      </c>
      <c r="Q48" s="10">
        <f t="shared" si="10"/>
        <v>397.81683498462951</v>
      </c>
      <c r="R48" s="10">
        <f t="shared" si="10"/>
        <v>9.9454208746157384</v>
      </c>
      <c r="S48" s="6"/>
    </row>
    <row r="49" spans="1:21" x14ac:dyDescent="0.25">
      <c r="A49">
        <v>41</v>
      </c>
      <c r="B49" s="1">
        <f t="shared" si="11"/>
        <v>4100000000</v>
      </c>
      <c r="C49" s="1">
        <v>22380</v>
      </c>
      <c r="D49" s="1">
        <v>22380</v>
      </c>
      <c r="E49" s="1">
        <v>216710</v>
      </c>
      <c r="F49" s="6">
        <f t="shared" si="0"/>
        <v>366398570.15192139</v>
      </c>
      <c r="G49" s="6">
        <f t="shared" si="1"/>
        <v>366398570.15192139</v>
      </c>
      <c r="H49" s="6">
        <f t="shared" si="2"/>
        <v>37838586.128928058</v>
      </c>
      <c r="I49" s="6">
        <f t="shared" si="3"/>
        <v>8936550.4915102776</v>
      </c>
      <c r="J49" s="6">
        <f t="shared" si="4"/>
        <v>8936550.4915102776</v>
      </c>
      <c r="K49" s="6">
        <f t="shared" si="5"/>
        <v>922892.34460800141</v>
      </c>
      <c r="L49" s="6">
        <f t="shared" si="12"/>
        <v>402337480.83672756</v>
      </c>
      <c r="M49" s="6">
        <f t="shared" si="7"/>
        <v>9813109.2887006719</v>
      </c>
      <c r="N49" s="6"/>
      <c r="O49" s="10">
        <f t="shared" si="8"/>
        <v>256.87857547759029</v>
      </c>
      <c r="P49" s="10">
        <f t="shared" si="9"/>
        <v>6.2653311092095185</v>
      </c>
      <c r="Q49" s="10">
        <f t="shared" si="10"/>
        <v>402.33748083672754</v>
      </c>
      <c r="R49" s="10">
        <f t="shared" si="10"/>
        <v>9.8131092887006712</v>
      </c>
      <c r="S49" s="6"/>
    </row>
    <row r="50" spans="1:21" x14ac:dyDescent="0.25">
      <c r="A50">
        <v>42</v>
      </c>
      <c r="B50" s="1">
        <f t="shared" si="11"/>
        <v>4200000000</v>
      </c>
      <c r="C50" s="1">
        <v>22760</v>
      </c>
      <c r="D50" s="1">
        <v>22760</v>
      </c>
      <c r="E50" s="1">
        <v>22870</v>
      </c>
      <c r="F50" s="6">
        <f t="shared" si="0"/>
        <v>369068541.30052722</v>
      </c>
      <c r="G50" s="6">
        <f t="shared" si="1"/>
        <v>369068541.30052722</v>
      </c>
      <c r="H50" s="6">
        <f t="shared" si="2"/>
        <v>367293397.46392649</v>
      </c>
      <c r="I50" s="6">
        <f t="shared" si="3"/>
        <v>8787346.2214411236</v>
      </c>
      <c r="J50" s="6">
        <f t="shared" si="4"/>
        <v>8787346.2214411236</v>
      </c>
      <c r="K50" s="6">
        <f t="shared" si="5"/>
        <v>8745080.89199825</v>
      </c>
      <c r="L50" s="6">
        <f t="shared" si="12"/>
        <v>406858126.68882561</v>
      </c>
      <c r="M50" s="6">
        <f t="shared" si="7"/>
        <v>9687098.254495848</v>
      </c>
      <c r="N50" s="6"/>
      <c r="O50" s="10">
        <f t="shared" si="8"/>
        <v>368.47682668832704</v>
      </c>
      <c r="P50" s="10">
        <f t="shared" si="9"/>
        <v>8.7732577782935</v>
      </c>
      <c r="Q50" s="10">
        <f t="shared" si="10"/>
        <v>406.85812668882562</v>
      </c>
      <c r="R50" s="10">
        <f t="shared" si="10"/>
        <v>9.6870982544958473</v>
      </c>
      <c r="S50" s="6"/>
    </row>
    <row r="51" spans="1:21" x14ac:dyDescent="0.25">
      <c r="A51">
        <v>43</v>
      </c>
      <c r="B51" s="1">
        <f t="shared" si="11"/>
        <v>4300000000</v>
      </c>
      <c r="C51" s="1">
        <v>23330</v>
      </c>
      <c r="D51" s="1">
        <v>23330</v>
      </c>
      <c r="E51" s="1">
        <v>22470</v>
      </c>
      <c r="F51" s="6">
        <f t="shared" si="0"/>
        <v>368624089.15559363</v>
      </c>
      <c r="G51" s="6">
        <f t="shared" si="1"/>
        <v>368624089.15559363</v>
      </c>
      <c r="H51" s="6">
        <f t="shared" si="2"/>
        <v>382732532.26524252</v>
      </c>
      <c r="I51" s="6">
        <f t="shared" si="3"/>
        <v>8572653.236176597</v>
      </c>
      <c r="J51" s="6">
        <f t="shared" si="4"/>
        <v>8572653.236176597</v>
      </c>
      <c r="K51" s="6">
        <f t="shared" si="5"/>
        <v>8900756.5643079653</v>
      </c>
      <c r="L51" s="6">
        <f t="shared" si="12"/>
        <v>411378772.54092371</v>
      </c>
      <c r="M51" s="6">
        <f t="shared" si="7"/>
        <v>9566948.1986261327</v>
      </c>
      <c r="N51" s="6"/>
      <c r="O51" s="10">
        <f t="shared" si="8"/>
        <v>373.32690352547661</v>
      </c>
      <c r="P51" s="10">
        <f t="shared" si="9"/>
        <v>8.6820210122203871</v>
      </c>
      <c r="Q51" s="10">
        <f t="shared" si="10"/>
        <v>411.37877254092371</v>
      </c>
      <c r="R51" s="10">
        <f t="shared" si="10"/>
        <v>9.5669481986261324</v>
      </c>
      <c r="S51" s="6"/>
    </row>
    <row r="52" spans="1:21" x14ac:dyDescent="0.25">
      <c r="A52">
        <v>44</v>
      </c>
      <c r="B52" s="1">
        <f t="shared" si="11"/>
        <v>4400000000</v>
      </c>
      <c r="C52" s="1">
        <v>23080</v>
      </c>
      <c r="D52" s="1">
        <v>23080</v>
      </c>
      <c r="E52" s="1">
        <v>22610</v>
      </c>
      <c r="F52" s="6">
        <f t="shared" si="0"/>
        <v>381282495.66724437</v>
      </c>
      <c r="G52" s="6">
        <f t="shared" si="1"/>
        <v>381282495.66724437</v>
      </c>
      <c r="H52" s="6">
        <f t="shared" si="2"/>
        <v>389208314.90490937</v>
      </c>
      <c r="I52" s="6">
        <f t="shared" si="3"/>
        <v>8665511.2651646454</v>
      </c>
      <c r="J52" s="6">
        <f t="shared" si="4"/>
        <v>8665511.2651646454</v>
      </c>
      <c r="K52" s="6">
        <f t="shared" si="5"/>
        <v>8845643.5205661226</v>
      </c>
      <c r="L52" s="6">
        <f t="shared" si="12"/>
        <v>415899418.39302176</v>
      </c>
      <c r="M52" s="6">
        <f t="shared" si="7"/>
        <v>9452259.508932313</v>
      </c>
      <c r="N52" s="6"/>
      <c r="O52" s="10">
        <f t="shared" si="8"/>
        <v>383.92443541313264</v>
      </c>
      <c r="P52" s="10">
        <f t="shared" si="9"/>
        <v>8.7255553502984711</v>
      </c>
      <c r="Q52" s="10">
        <f t="shared" si="10"/>
        <v>415.89941839302179</v>
      </c>
      <c r="R52" s="10">
        <f t="shared" si="10"/>
        <v>9.4522595089323129</v>
      </c>
      <c r="S52" s="6"/>
    </row>
    <row r="53" spans="1:21" x14ac:dyDescent="0.25">
      <c r="A53">
        <v>45</v>
      </c>
      <c r="B53" s="1">
        <f t="shared" si="11"/>
        <v>4500000000</v>
      </c>
      <c r="C53" s="1">
        <v>23030</v>
      </c>
      <c r="D53" s="1">
        <v>23030</v>
      </c>
      <c r="E53" s="1">
        <v>23340</v>
      </c>
      <c r="F53" s="6">
        <f t="shared" si="0"/>
        <v>390794615.71862787</v>
      </c>
      <c r="G53" s="6">
        <f t="shared" si="1"/>
        <v>390794615.71862787</v>
      </c>
      <c r="H53" s="6">
        <f t="shared" si="2"/>
        <v>385604113.11053985</v>
      </c>
      <c r="I53" s="6">
        <f t="shared" si="3"/>
        <v>8684324.7937472854</v>
      </c>
      <c r="J53" s="6">
        <f t="shared" si="4"/>
        <v>8684324.7937472854</v>
      </c>
      <c r="K53" s="6">
        <f t="shared" si="5"/>
        <v>8568980.29134533</v>
      </c>
      <c r="L53" s="6">
        <f t="shared" si="12"/>
        <v>420420064.24511981</v>
      </c>
      <c r="M53" s="6">
        <f t="shared" si="7"/>
        <v>9342668.0943359956</v>
      </c>
      <c r="N53" s="6"/>
      <c r="O53" s="10">
        <f t="shared" si="8"/>
        <v>389.06444818259854</v>
      </c>
      <c r="P53" s="10">
        <f t="shared" si="9"/>
        <v>8.6458766262799678</v>
      </c>
      <c r="Q53" s="10">
        <f t="shared" si="10"/>
        <v>420.42006424511982</v>
      </c>
      <c r="R53" s="10">
        <f t="shared" si="10"/>
        <v>9.3426680943359948</v>
      </c>
      <c r="S53" s="6"/>
    </row>
    <row r="54" spans="1:21" x14ac:dyDescent="0.25">
      <c r="A54">
        <v>46</v>
      </c>
      <c r="B54" s="1">
        <f t="shared" si="11"/>
        <v>4600000000</v>
      </c>
      <c r="C54" s="1">
        <v>23700</v>
      </c>
      <c r="D54" s="1">
        <v>23700</v>
      </c>
      <c r="E54" s="1">
        <v>24090</v>
      </c>
      <c r="F54" s="6">
        <f t="shared" si="0"/>
        <v>388185654.00843883</v>
      </c>
      <c r="G54" s="6">
        <f t="shared" si="1"/>
        <v>388185654.00843883</v>
      </c>
      <c r="H54" s="6">
        <f t="shared" si="2"/>
        <v>381901203.81901205</v>
      </c>
      <c r="I54" s="6">
        <f t="shared" si="3"/>
        <v>8438818.5654008444</v>
      </c>
      <c r="J54" s="6">
        <f t="shared" si="4"/>
        <v>8438818.5654008444</v>
      </c>
      <c r="K54" s="6">
        <f t="shared" si="5"/>
        <v>8302200.0830220012</v>
      </c>
      <c r="L54" s="6">
        <f t="shared" si="12"/>
        <v>424940710.09721792</v>
      </c>
      <c r="M54" s="6">
        <f t="shared" si="7"/>
        <v>9237841.5238525625</v>
      </c>
      <c r="N54" s="6"/>
      <c r="O54" s="10">
        <f t="shared" si="8"/>
        <v>386.09083727862998</v>
      </c>
      <c r="P54" s="10">
        <f t="shared" si="9"/>
        <v>8.3932790712745629</v>
      </c>
      <c r="Q54" s="10">
        <f t="shared" si="10"/>
        <v>424.9407100972179</v>
      </c>
      <c r="R54" s="10">
        <f t="shared" si="10"/>
        <v>9.2378415238525626</v>
      </c>
      <c r="S54" s="6"/>
    </row>
    <row r="55" spans="1:21" x14ac:dyDescent="0.25">
      <c r="A55">
        <v>47</v>
      </c>
      <c r="B55" s="1">
        <f t="shared" si="11"/>
        <v>4700000000</v>
      </c>
      <c r="C55" s="1">
        <v>23500</v>
      </c>
      <c r="D55" s="1">
        <v>23500</v>
      </c>
      <c r="E55" s="1">
        <v>24360</v>
      </c>
      <c r="F55" s="6">
        <f t="shared" si="0"/>
        <v>400000000</v>
      </c>
      <c r="G55" s="6">
        <f t="shared" si="1"/>
        <v>400000000</v>
      </c>
      <c r="H55" s="6">
        <f t="shared" si="2"/>
        <v>385878489.32676518</v>
      </c>
      <c r="I55" s="6">
        <f t="shared" si="3"/>
        <v>8510638.2978723403</v>
      </c>
      <c r="J55" s="6">
        <f t="shared" si="4"/>
        <v>8510638.2978723403</v>
      </c>
      <c r="K55" s="6">
        <f t="shared" si="5"/>
        <v>8210180.6239737272</v>
      </c>
      <c r="L55" s="6">
        <f t="shared" si="12"/>
        <v>429461355.94931597</v>
      </c>
      <c r="M55" s="6">
        <f t="shared" si="7"/>
        <v>9137475.6584960837</v>
      </c>
      <c r="N55" s="6"/>
      <c r="O55" s="10">
        <f t="shared" si="8"/>
        <v>395.29282977558836</v>
      </c>
      <c r="P55" s="10">
        <f t="shared" si="9"/>
        <v>8.4104857399061359</v>
      </c>
      <c r="Q55" s="10">
        <f t="shared" si="10"/>
        <v>429.46135594931599</v>
      </c>
      <c r="R55" s="10">
        <f t="shared" si="10"/>
        <v>9.1374756584960846</v>
      </c>
      <c r="S55" s="6"/>
    </row>
    <row r="56" spans="1:21" x14ac:dyDescent="0.25">
      <c r="A56">
        <v>48</v>
      </c>
      <c r="B56" s="1">
        <f t="shared" si="11"/>
        <v>4800000000</v>
      </c>
      <c r="C56" s="1">
        <v>23920</v>
      </c>
      <c r="D56" s="1">
        <v>23920</v>
      </c>
      <c r="E56" s="1">
        <v>24010</v>
      </c>
      <c r="F56" s="6">
        <f t="shared" si="0"/>
        <v>401337792.64214045</v>
      </c>
      <c r="G56" s="6">
        <f t="shared" si="1"/>
        <v>401337792.64214045</v>
      </c>
      <c r="H56" s="6">
        <f t="shared" si="2"/>
        <v>399833402.74885464</v>
      </c>
      <c r="I56" s="6">
        <f t="shared" si="3"/>
        <v>8361204.0133779263</v>
      </c>
      <c r="J56" s="6">
        <f t="shared" si="4"/>
        <v>8361204.0133779263</v>
      </c>
      <c r="K56" s="6">
        <f t="shared" si="5"/>
        <v>8329862.5572678046</v>
      </c>
      <c r="L56" s="6">
        <f t="shared" si="12"/>
        <v>433982001.80141401</v>
      </c>
      <c r="M56" s="6">
        <f t="shared" si="7"/>
        <v>9041291.7041961253</v>
      </c>
      <c r="N56" s="6"/>
      <c r="O56" s="10">
        <f t="shared" si="8"/>
        <v>400.8363293443785</v>
      </c>
      <c r="P56" s="10">
        <f t="shared" si="9"/>
        <v>8.3507568613412193</v>
      </c>
      <c r="Q56" s="10">
        <f t="shared" si="10"/>
        <v>433.98200180141401</v>
      </c>
      <c r="R56" s="10">
        <f t="shared" si="10"/>
        <v>9.0412917041961247</v>
      </c>
      <c r="S56" s="6"/>
    </row>
    <row r="57" spans="1:21" x14ac:dyDescent="0.25">
      <c r="A57">
        <v>49</v>
      </c>
      <c r="B57" s="1">
        <f t="shared" si="11"/>
        <v>4900000000</v>
      </c>
      <c r="C57" s="1">
        <v>24610</v>
      </c>
      <c r="D57" s="1">
        <v>24610</v>
      </c>
      <c r="E57" s="1">
        <v>24430</v>
      </c>
      <c r="F57" s="6">
        <f t="shared" si="0"/>
        <v>398212108.89882165</v>
      </c>
      <c r="G57" s="6">
        <f t="shared" si="1"/>
        <v>398212108.89882165</v>
      </c>
      <c r="H57" s="6">
        <f t="shared" si="2"/>
        <v>401146131.8051576</v>
      </c>
      <c r="I57" s="6">
        <f t="shared" si="3"/>
        <v>8126777.7326290132</v>
      </c>
      <c r="J57" s="6">
        <f t="shared" si="4"/>
        <v>8126777.7326290132</v>
      </c>
      <c r="K57" s="6">
        <f t="shared" si="5"/>
        <v>8186655.7511256654</v>
      </c>
      <c r="L57" s="6">
        <f t="shared" si="12"/>
        <v>438502647.65351206</v>
      </c>
      <c r="M57" s="6">
        <f t="shared" si="7"/>
        <v>8949033.6255818792</v>
      </c>
      <c r="N57" s="6"/>
      <c r="O57" s="10">
        <f t="shared" si="8"/>
        <v>399.19011653426696</v>
      </c>
      <c r="P57" s="10">
        <f t="shared" si="9"/>
        <v>8.1467370721278964</v>
      </c>
      <c r="Q57" s="10">
        <f t="shared" si="10"/>
        <v>438.50264765351204</v>
      </c>
      <c r="R57" s="10">
        <f t="shared" si="10"/>
        <v>8.9490336255818796</v>
      </c>
      <c r="S57" s="6"/>
    </row>
    <row r="58" spans="1:21" x14ac:dyDescent="0.25">
      <c r="A58">
        <v>50</v>
      </c>
      <c r="B58" s="1">
        <f t="shared" si="11"/>
        <v>5000000000</v>
      </c>
      <c r="C58" s="1">
        <v>123180</v>
      </c>
      <c r="D58" s="1">
        <v>123180</v>
      </c>
      <c r="E58" s="1">
        <v>76610</v>
      </c>
      <c r="F58" s="6">
        <f t="shared" si="0"/>
        <v>81182010.066569239</v>
      </c>
      <c r="G58" s="6">
        <f t="shared" si="1"/>
        <v>81182010.066569239</v>
      </c>
      <c r="H58" s="6">
        <f t="shared" si="2"/>
        <v>130531262.23730583</v>
      </c>
      <c r="I58" s="6">
        <f t="shared" si="3"/>
        <v>1623640.2013313847</v>
      </c>
      <c r="J58" s="6">
        <f t="shared" si="4"/>
        <v>1623640.2013313847</v>
      </c>
      <c r="K58" s="6">
        <f t="shared" si="5"/>
        <v>2610625.2447461169</v>
      </c>
      <c r="L58" s="6">
        <f t="shared" si="12"/>
        <v>443023293.50561011</v>
      </c>
      <c r="M58" s="6">
        <f t="shared" si="7"/>
        <v>8860465.8701122031</v>
      </c>
      <c r="N58" s="6"/>
      <c r="O58" s="10">
        <f t="shared" si="8"/>
        <v>97.631760790148093</v>
      </c>
      <c r="P58" s="10">
        <f t="shared" si="9"/>
        <v>1.9526352158029621</v>
      </c>
      <c r="Q58" s="10">
        <f t="shared" si="10"/>
        <v>443.02329350561013</v>
      </c>
      <c r="R58" s="10">
        <f t="shared" si="10"/>
        <v>8.8604658701122023</v>
      </c>
      <c r="S58" s="6"/>
    </row>
    <row r="59" spans="1:21" x14ac:dyDescent="0.25">
      <c r="A59">
        <v>51</v>
      </c>
      <c r="B59" s="1">
        <f t="shared" si="11"/>
        <v>5100000000</v>
      </c>
      <c r="C59" s="1">
        <v>78350</v>
      </c>
      <c r="D59" s="1">
        <v>78350</v>
      </c>
      <c r="E59" s="1">
        <v>24430</v>
      </c>
      <c r="F59" s="6">
        <f t="shared" si="0"/>
        <v>130185067.00701979</v>
      </c>
      <c r="G59" s="6">
        <f t="shared" si="1"/>
        <v>130185067.00701979</v>
      </c>
      <c r="H59" s="6">
        <f t="shared" si="2"/>
        <v>417519443.30740893</v>
      </c>
      <c r="I59" s="6">
        <f t="shared" si="3"/>
        <v>2552648.3726866627</v>
      </c>
      <c r="J59" s="6">
        <f t="shared" si="4"/>
        <v>2552648.3726866627</v>
      </c>
      <c r="K59" s="6">
        <f t="shared" si="5"/>
        <v>8186655.7511256654</v>
      </c>
      <c r="L59" s="6">
        <f t="shared" si="12"/>
        <v>447543939.35770822</v>
      </c>
      <c r="M59" s="6">
        <f t="shared" si="7"/>
        <v>8775371.3599550631</v>
      </c>
      <c r="N59" s="6"/>
      <c r="O59" s="10">
        <f t="shared" si="8"/>
        <v>225.96319244048286</v>
      </c>
      <c r="P59" s="10">
        <f t="shared" si="9"/>
        <v>4.4306508321663296</v>
      </c>
      <c r="Q59" s="10">
        <f t="shared" si="10"/>
        <v>447.54393935770821</v>
      </c>
      <c r="R59" s="10">
        <f t="shared" si="10"/>
        <v>8.7753713599550629</v>
      </c>
      <c r="S59" s="6"/>
    </row>
    <row r="60" spans="1:21" x14ac:dyDescent="0.25">
      <c r="A60">
        <v>52</v>
      </c>
      <c r="B60" s="1">
        <f t="shared" si="11"/>
        <v>5200000000</v>
      </c>
      <c r="C60" s="1">
        <v>85640</v>
      </c>
      <c r="D60" s="1">
        <v>85640</v>
      </c>
      <c r="E60" s="1">
        <v>68280</v>
      </c>
      <c r="F60" s="6">
        <f t="shared" si="0"/>
        <v>121438580.10275571</v>
      </c>
      <c r="G60" s="6">
        <f t="shared" si="1"/>
        <v>121438580.10275571</v>
      </c>
      <c r="H60" s="6">
        <f t="shared" si="2"/>
        <v>152314001.17164618</v>
      </c>
      <c r="I60" s="6">
        <f t="shared" si="3"/>
        <v>2335357.3096683789</v>
      </c>
      <c r="J60" s="6">
        <f t="shared" si="4"/>
        <v>2335357.3096683789</v>
      </c>
      <c r="K60" s="6">
        <f t="shared" si="5"/>
        <v>2929115.407147042</v>
      </c>
      <c r="L60" s="6">
        <f t="shared" si="12"/>
        <v>452064585.20980626</v>
      </c>
      <c r="M60" s="6">
        <f t="shared" si="7"/>
        <v>8693549.7155731972</v>
      </c>
      <c r="N60" s="6"/>
      <c r="O60" s="10">
        <f t="shared" si="8"/>
        <v>131.73038712571918</v>
      </c>
      <c r="P60" s="10">
        <f t="shared" si="9"/>
        <v>2.5332766754946001</v>
      </c>
      <c r="Q60" s="10">
        <f t="shared" si="10"/>
        <v>452.06458520980624</v>
      </c>
      <c r="R60" s="10">
        <f t="shared" si="10"/>
        <v>8.693549715573198</v>
      </c>
      <c r="S60" s="6"/>
      <c r="U60" t="s">
        <v>10</v>
      </c>
    </row>
    <row r="61" spans="1:21" x14ac:dyDescent="0.25">
      <c r="A61">
        <v>53</v>
      </c>
      <c r="B61" s="1">
        <f t="shared" si="11"/>
        <v>5300000000</v>
      </c>
      <c r="C61" s="1">
        <v>48850</v>
      </c>
      <c r="D61" s="1">
        <v>48850</v>
      </c>
      <c r="E61" s="1">
        <v>89990</v>
      </c>
      <c r="F61" s="6">
        <f t="shared" si="0"/>
        <v>216990788.12691912</v>
      </c>
      <c r="G61" s="6">
        <f t="shared" si="1"/>
        <v>216990788.12691912</v>
      </c>
      <c r="H61" s="6">
        <f t="shared" si="2"/>
        <v>117790865.65173908</v>
      </c>
      <c r="I61" s="6">
        <f t="shared" si="3"/>
        <v>4094165.8137154551</v>
      </c>
      <c r="J61" s="6">
        <f t="shared" si="4"/>
        <v>4094165.8137154551</v>
      </c>
      <c r="K61" s="6">
        <f t="shared" si="5"/>
        <v>2222469.1632403601</v>
      </c>
      <c r="L61" s="6">
        <f t="shared" si="12"/>
        <v>456585231.06190431</v>
      </c>
      <c r="M61" s="6">
        <f t="shared" si="7"/>
        <v>8614815.680413289</v>
      </c>
      <c r="N61" s="6"/>
      <c r="O61" s="10">
        <f t="shared" si="8"/>
        <v>183.92414730185911</v>
      </c>
      <c r="P61" s="10">
        <f t="shared" si="9"/>
        <v>3.4702669302237568</v>
      </c>
      <c r="Q61" s="10">
        <f t="shared" si="10"/>
        <v>456.58523106190432</v>
      </c>
      <c r="R61" s="10">
        <f t="shared" si="10"/>
        <v>8.6148156804132885</v>
      </c>
      <c r="S61" s="6"/>
    </row>
    <row r="62" spans="1:21" x14ac:dyDescent="0.25">
      <c r="A62">
        <v>54</v>
      </c>
      <c r="B62" s="1">
        <f t="shared" si="11"/>
        <v>5400000000</v>
      </c>
      <c r="C62" s="1">
        <v>98650</v>
      </c>
      <c r="D62" s="1">
        <v>98650</v>
      </c>
      <c r="E62" s="1">
        <v>93710</v>
      </c>
      <c r="F62" s="6">
        <f t="shared" si="0"/>
        <v>109477952.35681702</v>
      </c>
      <c r="G62" s="6">
        <f t="shared" si="1"/>
        <v>109477952.35681702</v>
      </c>
      <c r="H62" s="6">
        <f t="shared" si="2"/>
        <v>115249172.98047167</v>
      </c>
      <c r="I62" s="6">
        <f t="shared" si="3"/>
        <v>2027369.4880892041</v>
      </c>
      <c r="J62" s="6">
        <f t="shared" si="4"/>
        <v>2027369.4880892041</v>
      </c>
      <c r="K62" s="6">
        <f t="shared" si="5"/>
        <v>2134243.9440828087</v>
      </c>
      <c r="L62" s="6">
        <f t="shared" si="12"/>
        <v>461105876.91400242</v>
      </c>
      <c r="M62" s="6">
        <f t="shared" si="7"/>
        <v>8538997.7206296753</v>
      </c>
      <c r="N62" s="6"/>
      <c r="O62" s="10">
        <f t="shared" si="8"/>
        <v>111.40169256470192</v>
      </c>
      <c r="P62" s="10">
        <f t="shared" si="9"/>
        <v>2.0629943067537391</v>
      </c>
      <c r="Q62" s="10">
        <f t="shared" si="10"/>
        <v>461.10587691400241</v>
      </c>
      <c r="R62" s="10">
        <f t="shared" si="10"/>
        <v>8.5389977206296752</v>
      </c>
      <c r="S62" s="6"/>
      <c r="U62" t="s">
        <v>9</v>
      </c>
    </row>
    <row r="63" spans="1:21" x14ac:dyDescent="0.25">
      <c r="A63">
        <v>55</v>
      </c>
      <c r="B63" s="1">
        <f t="shared" si="11"/>
        <v>5500000000</v>
      </c>
      <c r="C63" s="1">
        <v>74420</v>
      </c>
      <c r="D63" s="1">
        <v>74420</v>
      </c>
      <c r="E63" s="1">
        <v>66750</v>
      </c>
      <c r="F63" s="6">
        <f t="shared" si="0"/>
        <v>147809728.56758937</v>
      </c>
      <c r="G63" s="6">
        <f t="shared" si="1"/>
        <v>147809728.56758937</v>
      </c>
      <c r="H63" s="6">
        <f t="shared" si="2"/>
        <v>164794007.49063671</v>
      </c>
      <c r="I63" s="6">
        <f t="shared" si="3"/>
        <v>2687449.6103198067</v>
      </c>
      <c r="J63" s="6">
        <f t="shared" si="4"/>
        <v>2687449.6103198067</v>
      </c>
      <c r="K63" s="6">
        <f t="shared" si="5"/>
        <v>2996254.6816479401</v>
      </c>
      <c r="L63" s="6">
        <f t="shared" si="12"/>
        <v>465626522.76610047</v>
      </c>
      <c r="M63" s="6">
        <f t="shared" si="7"/>
        <v>8465936.7775654625</v>
      </c>
      <c r="N63" s="6"/>
      <c r="O63" s="10">
        <f t="shared" si="8"/>
        <v>153.47115487527182</v>
      </c>
      <c r="P63" s="10">
        <f t="shared" si="9"/>
        <v>2.7903846340958514</v>
      </c>
      <c r="Q63" s="10">
        <f t="shared" si="10"/>
        <v>465.62652276610049</v>
      </c>
      <c r="R63" s="10">
        <f t="shared" si="10"/>
        <v>8.4659367775654619</v>
      </c>
      <c r="S63" s="6"/>
    </row>
    <row r="64" spans="1:21" x14ac:dyDescent="0.25">
      <c r="A64">
        <v>56</v>
      </c>
      <c r="B64" s="1">
        <f t="shared" si="11"/>
        <v>5600000000</v>
      </c>
      <c r="C64" s="1">
        <v>62830</v>
      </c>
      <c r="D64" s="1">
        <v>62830</v>
      </c>
      <c r="E64" s="1">
        <v>34580</v>
      </c>
      <c r="F64" s="6">
        <f t="shared" si="0"/>
        <v>178258793.56995064</v>
      </c>
      <c r="G64" s="6">
        <f t="shared" si="1"/>
        <v>178258793.56995064</v>
      </c>
      <c r="H64" s="6">
        <f t="shared" si="2"/>
        <v>323886639.67611337</v>
      </c>
      <c r="I64" s="6">
        <f t="shared" si="3"/>
        <v>3183192.7423205473</v>
      </c>
      <c r="J64" s="6">
        <f t="shared" si="4"/>
        <v>3183192.7423205473</v>
      </c>
      <c r="K64" s="6">
        <f t="shared" si="5"/>
        <v>5783689.9942163099</v>
      </c>
      <c r="L64" s="6">
        <f t="shared" si="12"/>
        <v>470147168.61819851</v>
      </c>
      <c r="M64" s="6">
        <f t="shared" si="7"/>
        <v>8395485.1538964026</v>
      </c>
      <c r="N64" s="6"/>
      <c r="O64" s="10">
        <f t="shared" si="8"/>
        <v>226.80140893867156</v>
      </c>
      <c r="P64" s="10">
        <f t="shared" si="9"/>
        <v>4.0500251596191355</v>
      </c>
      <c r="Q64" s="10">
        <f t="shared" si="10"/>
        <v>470.14716861819852</v>
      </c>
      <c r="R64" s="10">
        <f t="shared" si="10"/>
        <v>8.3954851538964022</v>
      </c>
      <c r="S64" s="6"/>
    </row>
    <row r="65" spans="1:19" x14ac:dyDescent="0.25">
      <c r="A65">
        <v>57</v>
      </c>
      <c r="B65" s="1">
        <f t="shared" si="11"/>
        <v>5700000000</v>
      </c>
      <c r="C65" s="1">
        <v>62000</v>
      </c>
      <c r="D65" s="1">
        <v>62000</v>
      </c>
      <c r="E65" s="1">
        <v>48960</v>
      </c>
      <c r="F65" s="6">
        <f t="shared" si="0"/>
        <v>183870967.74193549</v>
      </c>
      <c r="G65" s="6">
        <f t="shared" si="1"/>
        <v>183870967.74193549</v>
      </c>
      <c r="H65" s="6">
        <f t="shared" si="2"/>
        <v>232843137.25490195</v>
      </c>
      <c r="I65" s="6">
        <f t="shared" si="3"/>
        <v>3225806.4516129033</v>
      </c>
      <c r="J65" s="6">
        <f t="shared" si="4"/>
        <v>3225806.4516129033</v>
      </c>
      <c r="K65" s="6">
        <f t="shared" si="5"/>
        <v>4084967.3202614374</v>
      </c>
      <c r="L65" s="6">
        <f t="shared" si="12"/>
        <v>474667814.47029656</v>
      </c>
      <c r="M65" s="6">
        <f t="shared" si="7"/>
        <v>8327505.5170227466</v>
      </c>
      <c r="N65" s="6"/>
      <c r="O65" s="10">
        <f t="shared" si="8"/>
        <v>200.19502424625765</v>
      </c>
      <c r="P65" s="10">
        <f t="shared" si="9"/>
        <v>3.5121934078290811</v>
      </c>
      <c r="Q65" s="10">
        <f t="shared" si="10"/>
        <v>474.66781447029655</v>
      </c>
      <c r="R65" s="10">
        <f t="shared" si="10"/>
        <v>8.3275055170227468</v>
      </c>
      <c r="S65" s="6"/>
    </row>
    <row r="66" spans="1:19" x14ac:dyDescent="0.25">
      <c r="A66">
        <v>58</v>
      </c>
      <c r="B66" s="1">
        <f t="shared" si="11"/>
        <v>5800000000</v>
      </c>
      <c r="C66" s="1">
        <v>82010</v>
      </c>
      <c r="D66" s="1">
        <v>82010</v>
      </c>
      <c r="E66" s="1">
        <v>63900</v>
      </c>
      <c r="F66" s="6">
        <f t="shared" si="0"/>
        <v>141446165.10181686</v>
      </c>
      <c r="G66" s="6">
        <f t="shared" si="1"/>
        <v>141446165.10181686</v>
      </c>
      <c r="H66" s="6">
        <f t="shared" si="2"/>
        <v>181533646.32237872</v>
      </c>
      <c r="I66" s="6">
        <f t="shared" si="3"/>
        <v>2438726.9845140837</v>
      </c>
      <c r="J66" s="6">
        <f t="shared" si="4"/>
        <v>2438726.9845140837</v>
      </c>
      <c r="K66" s="6">
        <f t="shared" si="5"/>
        <v>3129890.453834116</v>
      </c>
      <c r="L66" s="6">
        <f t="shared" si="12"/>
        <v>479188460.32239461</v>
      </c>
      <c r="M66" s="6">
        <f t="shared" si="7"/>
        <v>8261870.005558528</v>
      </c>
      <c r="N66" s="6"/>
      <c r="O66" s="10">
        <f t="shared" si="8"/>
        <v>154.80865884200415</v>
      </c>
      <c r="P66" s="10">
        <f t="shared" si="9"/>
        <v>2.6691148076207614</v>
      </c>
      <c r="Q66" s="10">
        <f t="shared" si="10"/>
        <v>479.18846032239463</v>
      </c>
      <c r="R66" s="10">
        <f t="shared" si="10"/>
        <v>8.2618700055585279</v>
      </c>
      <c r="S66" s="6"/>
    </row>
    <row r="67" spans="1:19" x14ac:dyDescent="0.25">
      <c r="A67">
        <v>59</v>
      </c>
      <c r="B67" s="1">
        <f t="shared" si="11"/>
        <v>5900000000</v>
      </c>
      <c r="C67" s="1">
        <v>34920</v>
      </c>
      <c r="D67" s="1">
        <v>34920</v>
      </c>
      <c r="E67" s="1">
        <v>54100</v>
      </c>
      <c r="F67" s="6">
        <f t="shared" si="0"/>
        <v>337915234.82245129</v>
      </c>
      <c r="G67" s="6">
        <f t="shared" si="1"/>
        <v>337915234.82245129</v>
      </c>
      <c r="H67" s="6">
        <f t="shared" si="2"/>
        <v>218114602.58780035</v>
      </c>
      <c r="I67" s="6">
        <f t="shared" si="3"/>
        <v>5727376.8613974797</v>
      </c>
      <c r="J67" s="6">
        <f t="shared" si="4"/>
        <v>5727376.8613974797</v>
      </c>
      <c r="K67" s="6">
        <f t="shared" si="5"/>
        <v>3696857.670979667</v>
      </c>
      <c r="L67" s="6">
        <f t="shared" si="12"/>
        <v>483709106.17449272</v>
      </c>
      <c r="M67" s="6">
        <f t="shared" si="7"/>
        <v>8198459.4266863177</v>
      </c>
      <c r="N67" s="6"/>
      <c r="O67" s="10">
        <f t="shared" si="8"/>
        <v>297.9816907442343</v>
      </c>
      <c r="P67" s="10">
        <f t="shared" si="9"/>
        <v>5.050537131258209</v>
      </c>
      <c r="Q67" s="10">
        <f t="shared" si="10"/>
        <v>483.70910617449272</v>
      </c>
      <c r="R67" s="10">
        <f t="shared" si="10"/>
        <v>8.198459426686318</v>
      </c>
      <c r="S67" s="6"/>
    </row>
    <row r="68" spans="1:19" x14ac:dyDescent="0.25">
      <c r="A68">
        <v>60</v>
      </c>
      <c r="B68" s="1">
        <f t="shared" si="11"/>
        <v>6000000000</v>
      </c>
      <c r="C68" s="1">
        <v>75370</v>
      </c>
      <c r="D68" s="1">
        <v>75370</v>
      </c>
      <c r="E68" s="1">
        <v>89350</v>
      </c>
      <c r="F68" s="6">
        <f t="shared" si="0"/>
        <v>159214541.59479898</v>
      </c>
      <c r="G68" s="6">
        <f t="shared" si="1"/>
        <v>159214541.59479898</v>
      </c>
      <c r="H68" s="6">
        <f t="shared" si="2"/>
        <v>134303301.62283155</v>
      </c>
      <c r="I68" s="6">
        <f t="shared" si="3"/>
        <v>2653575.6932466496</v>
      </c>
      <c r="J68" s="6">
        <f t="shared" si="4"/>
        <v>2653575.6932466496</v>
      </c>
      <c r="K68" s="6">
        <f t="shared" si="5"/>
        <v>2238388.3603805257</v>
      </c>
      <c r="L68" s="6">
        <f t="shared" si="12"/>
        <v>488229752.02659076</v>
      </c>
      <c r="M68" s="6">
        <f t="shared" si="7"/>
        <v>8137162.5337765124</v>
      </c>
      <c r="N68" s="6"/>
      <c r="O68" s="10">
        <f t="shared" si="8"/>
        <v>150.91079493747651</v>
      </c>
      <c r="P68" s="10">
        <f t="shared" si="9"/>
        <v>2.5151799156246084</v>
      </c>
      <c r="Q68" s="10">
        <f t="shared" si="10"/>
        <v>488.22975202659075</v>
      </c>
      <c r="R68" s="10">
        <f t="shared" si="10"/>
        <v>8.1371625337765128</v>
      </c>
      <c r="S68" s="6"/>
    </row>
    <row r="69" spans="1:19" x14ac:dyDescent="0.25">
      <c r="A69">
        <v>61</v>
      </c>
      <c r="B69" s="1">
        <f t="shared" si="11"/>
        <v>6100000000</v>
      </c>
      <c r="C69" s="1">
        <v>64590</v>
      </c>
      <c r="D69" s="1">
        <v>64590</v>
      </c>
      <c r="E69" s="1">
        <v>75180</v>
      </c>
      <c r="F69" s="6">
        <f t="shared" si="0"/>
        <v>188883728.13128969</v>
      </c>
      <c r="G69" s="6">
        <f t="shared" si="1"/>
        <v>188883728.13128969</v>
      </c>
      <c r="H69" s="6">
        <f t="shared" si="2"/>
        <v>162277201.38334665</v>
      </c>
      <c r="I69" s="6">
        <f t="shared" si="3"/>
        <v>3096454.559529339</v>
      </c>
      <c r="J69" s="6">
        <f t="shared" si="4"/>
        <v>3096454.559529339</v>
      </c>
      <c r="K69" s="6">
        <f t="shared" si="5"/>
        <v>2660281.9898909288</v>
      </c>
      <c r="L69" s="6">
        <f t="shared" si="12"/>
        <v>492750397.87868881</v>
      </c>
      <c r="M69" s="6">
        <f t="shared" si="7"/>
        <v>8077875.3750604726</v>
      </c>
      <c r="N69" s="6"/>
      <c r="O69" s="10">
        <f t="shared" si="8"/>
        <v>180.01488588197532</v>
      </c>
      <c r="P69" s="10">
        <f t="shared" si="9"/>
        <v>2.9510637029832023</v>
      </c>
      <c r="Q69" s="10">
        <f t="shared" si="10"/>
        <v>492.75039787868883</v>
      </c>
      <c r="R69" s="10">
        <f t="shared" si="10"/>
        <v>8.0778753750604722</v>
      </c>
      <c r="S69" s="6"/>
    </row>
    <row r="70" spans="1:19" x14ac:dyDescent="0.25">
      <c r="A70">
        <v>62</v>
      </c>
      <c r="B70" s="1">
        <f t="shared" si="11"/>
        <v>6200000000</v>
      </c>
      <c r="C70" s="1">
        <v>59080</v>
      </c>
      <c r="D70" s="1">
        <v>59080</v>
      </c>
      <c r="E70" s="1">
        <v>52980</v>
      </c>
      <c r="F70" s="6">
        <f t="shared" si="0"/>
        <v>209884901.82802981</v>
      </c>
      <c r="G70" s="6">
        <f t="shared" si="1"/>
        <v>209884901.82802981</v>
      </c>
      <c r="H70" s="6">
        <f t="shared" si="2"/>
        <v>234050585.12646282</v>
      </c>
      <c r="I70" s="6">
        <f t="shared" si="3"/>
        <v>3385240.352064997</v>
      </c>
      <c r="J70" s="6">
        <f t="shared" si="4"/>
        <v>3385240.352064997</v>
      </c>
      <c r="K70" s="6">
        <f t="shared" si="5"/>
        <v>3775009.4375235937</v>
      </c>
      <c r="L70" s="6">
        <f t="shared" si="12"/>
        <v>497271043.73078692</v>
      </c>
      <c r="M70" s="6">
        <f t="shared" si="7"/>
        <v>8020500.7053352725</v>
      </c>
      <c r="N70" s="6"/>
      <c r="O70" s="10">
        <f t="shared" si="8"/>
        <v>217.94012959417415</v>
      </c>
      <c r="P70" s="10">
        <f t="shared" si="9"/>
        <v>3.5151633805511961</v>
      </c>
      <c r="Q70" s="10">
        <f t="shared" si="10"/>
        <v>497.27104373078691</v>
      </c>
      <c r="R70" s="10">
        <f t="shared" si="10"/>
        <v>8.020500705335273</v>
      </c>
      <c r="S70" s="6"/>
    </row>
    <row r="71" spans="1:19" x14ac:dyDescent="0.25">
      <c r="A71">
        <v>63</v>
      </c>
      <c r="B71" s="1">
        <f t="shared" si="11"/>
        <v>6300000000</v>
      </c>
      <c r="C71" s="1">
        <v>84680</v>
      </c>
      <c r="D71" s="1">
        <v>84680</v>
      </c>
      <c r="E71" s="1">
        <v>40700</v>
      </c>
      <c r="F71" s="6">
        <f t="shared" si="0"/>
        <v>148795465.2810581</v>
      </c>
      <c r="G71" s="6">
        <f t="shared" si="1"/>
        <v>148795465.2810581</v>
      </c>
      <c r="H71" s="6">
        <f t="shared" si="2"/>
        <v>309582309.58230954</v>
      </c>
      <c r="I71" s="6">
        <f t="shared" si="3"/>
        <v>2361832.7822390175</v>
      </c>
      <c r="J71" s="6">
        <f t="shared" si="4"/>
        <v>2361832.7822390175</v>
      </c>
      <c r="K71" s="6">
        <f t="shared" si="5"/>
        <v>4914004.9140049135</v>
      </c>
      <c r="L71" s="6">
        <f t="shared" si="12"/>
        <v>501791689.58288497</v>
      </c>
      <c r="M71" s="6">
        <f t="shared" si="7"/>
        <v>7964947.4536965871</v>
      </c>
      <c r="N71" s="6"/>
      <c r="O71" s="10">
        <f t="shared" si="8"/>
        <v>202.39108004814193</v>
      </c>
      <c r="P71" s="10">
        <f t="shared" si="9"/>
        <v>3.2125568261609829</v>
      </c>
      <c r="Q71" s="10">
        <f t="shared" si="10"/>
        <v>501.79168958288494</v>
      </c>
      <c r="R71" s="10">
        <f t="shared" si="10"/>
        <v>7.9649474536965874</v>
      </c>
      <c r="S71" s="6"/>
    </row>
    <row r="72" spans="1:19" x14ac:dyDescent="0.25">
      <c r="A72">
        <v>64</v>
      </c>
      <c r="B72" s="1">
        <f t="shared" si="11"/>
        <v>6400000000</v>
      </c>
      <c r="C72" s="1">
        <v>44830</v>
      </c>
      <c r="D72" s="1">
        <v>44830</v>
      </c>
      <c r="E72" s="1">
        <v>113500</v>
      </c>
      <c r="F72" s="6">
        <f t="shared" si="0"/>
        <v>285523087.21838051</v>
      </c>
      <c r="G72" s="6">
        <f t="shared" si="1"/>
        <v>285523087.21838051</v>
      </c>
      <c r="H72" s="6">
        <f t="shared" si="2"/>
        <v>112775330.39647576</v>
      </c>
      <c r="I72" s="6">
        <f t="shared" si="3"/>
        <v>4461298.2377871955</v>
      </c>
      <c r="J72" s="6">
        <f t="shared" si="4"/>
        <v>4461298.2377871955</v>
      </c>
      <c r="K72" s="6">
        <f t="shared" si="5"/>
        <v>1762114.5374449338</v>
      </c>
      <c r="L72" s="6">
        <f t="shared" si="12"/>
        <v>506312335.43498302</v>
      </c>
      <c r="M72" s="6">
        <f t="shared" si="7"/>
        <v>7911130.2411716096</v>
      </c>
      <c r="N72" s="6"/>
      <c r="O72" s="10">
        <f t="shared" si="8"/>
        <v>227.94050161107896</v>
      </c>
      <c r="P72" s="10">
        <f t="shared" si="9"/>
        <v>3.5615703376731087</v>
      </c>
      <c r="Q72" s="10">
        <f t="shared" si="10"/>
        <v>506.31233543498303</v>
      </c>
      <c r="R72" s="10">
        <f t="shared" si="10"/>
        <v>7.9111302411716098</v>
      </c>
      <c r="S72" s="6"/>
    </row>
    <row r="73" spans="1:19" x14ac:dyDescent="0.25">
      <c r="A73">
        <v>65</v>
      </c>
      <c r="B73" s="1">
        <f t="shared" si="11"/>
        <v>6500000000</v>
      </c>
      <c r="C73" s="1">
        <v>51780</v>
      </c>
      <c r="D73" s="1">
        <v>51780</v>
      </c>
      <c r="E73" s="1">
        <v>102080</v>
      </c>
      <c r="F73" s="6">
        <f t="shared" si="0"/>
        <v>251062186.17226729</v>
      </c>
      <c r="G73" s="6">
        <f t="shared" si="1"/>
        <v>251062186.17226729</v>
      </c>
      <c r="H73" s="6">
        <f t="shared" si="2"/>
        <v>127351097.17868339</v>
      </c>
      <c r="I73" s="6">
        <f t="shared" si="3"/>
        <v>3862495.171881035</v>
      </c>
      <c r="J73" s="6">
        <f t="shared" si="4"/>
        <v>3862495.171881035</v>
      </c>
      <c r="K73" s="6">
        <f t="shared" si="5"/>
        <v>1959247.6489028214</v>
      </c>
      <c r="L73" s="6">
        <f>$L$72</f>
        <v>506312335.43498302</v>
      </c>
      <c r="M73" s="6">
        <f t="shared" si="7"/>
        <v>7789420.5451535853</v>
      </c>
      <c r="N73" s="6"/>
      <c r="O73" s="10">
        <f t="shared" si="8"/>
        <v>209.82515650773931</v>
      </c>
      <c r="P73" s="10">
        <f t="shared" si="9"/>
        <v>3.2280793308882973</v>
      </c>
      <c r="Q73" s="10">
        <f t="shared" si="10"/>
        <v>506.31233543498303</v>
      </c>
      <c r="R73" s="10">
        <f t="shared" si="10"/>
        <v>7.7894205451535852</v>
      </c>
      <c r="S73" s="6"/>
    </row>
    <row r="74" spans="1:19" x14ac:dyDescent="0.25">
      <c r="A74">
        <v>66</v>
      </c>
      <c r="B74" s="1">
        <f t="shared" si="11"/>
        <v>6600000000</v>
      </c>
      <c r="C74" s="1">
        <v>124150</v>
      </c>
      <c r="D74" s="1">
        <v>124150</v>
      </c>
      <c r="E74" s="1">
        <v>74940</v>
      </c>
      <c r="F74" s="6">
        <f t="shared" ref="F74:F88" si="13">B74*2/C74*1000</f>
        <v>106322996.3753524</v>
      </c>
      <c r="G74" s="6">
        <f t="shared" ref="G74:G88" si="14">B74*2/D74*1000</f>
        <v>106322996.3753524</v>
      </c>
      <c r="H74" s="6">
        <f t="shared" ref="H74:H88" si="15">B74*2/E74*1000</f>
        <v>176140912.73018414</v>
      </c>
      <c r="I74" s="6">
        <f t="shared" ref="I74:I88" si="16">F74/A74</f>
        <v>1610954.4905356425</v>
      </c>
      <c r="J74" s="6">
        <f t="shared" ref="J74:J88" si="17">G74/A74</f>
        <v>1610954.4905356425</v>
      </c>
      <c r="K74" s="6">
        <f t="shared" ref="K74:K88" si="18">H74/A74</f>
        <v>2668801.7080330928</v>
      </c>
      <c r="L74" s="6">
        <f t="shared" ref="L74:L88" si="19">$L$72</f>
        <v>506312335.43498302</v>
      </c>
      <c r="M74" s="6">
        <f t="shared" si="7"/>
        <v>7671399.021742167</v>
      </c>
      <c r="N74" s="6"/>
      <c r="O74" s="10">
        <f t="shared" ref="O74:O88" si="20">(F74+G74+H74)/3/1000000</f>
        <v>129.59563516029633</v>
      </c>
      <c r="P74" s="10">
        <f t="shared" ref="P74:P88" si="21">(I74+J74+K74)/3/1000000</f>
        <v>1.9635702297014594</v>
      </c>
      <c r="Q74" s="10">
        <f t="shared" ref="Q74:R88" si="22">L74/1000000</f>
        <v>506.31233543498303</v>
      </c>
      <c r="R74" s="10">
        <f t="shared" si="22"/>
        <v>7.6713990217421673</v>
      </c>
      <c r="S74" s="6"/>
    </row>
    <row r="75" spans="1:19" x14ac:dyDescent="0.25">
      <c r="A75">
        <v>67</v>
      </c>
      <c r="B75" s="1">
        <f t="shared" ref="B75:B88" si="23">$B$9*A75</f>
        <v>6700000000</v>
      </c>
      <c r="C75" s="1">
        <v>109480</v>
      </c>
      <c r="D75" s="1">
        <v>109480</v>
      </c>
      <c r="E75" s="1">
        <v>48800</v>
      </c>
      <c r="F75" s="6">
        <f t="shared" si="13"/>
        <v>122396784.80087687</v>
      </c>
      <c r="G75" s="6">
        <f t="shared" si="14"/>
        <v>122396784.80087687</v>
      </c>
      <c r="H75" s="6">
        <f t="shared" si="15"/>
        <v>274590163.93442619</v>
      </c>
      <c r="I75" s="6">
        <f t="shared" si="16"/>
        <v>1826817.6835951773</v>
      </c>
      <c r="J75" s="6">
        <f t="shared" si="17"/>
        <v>1826817.6835951773</v>
      </c>
      <c r="K75" s="6">
        <f t="shared" si="18"/>
        <v>4098360.6557377041</v>
      </c>
      <c r="L75" s="6">
        <f t="shared" si="19"/>
        <v>506312335.43498302</v>
      </c>
      <c r="M75" s="6">
        <f t="shared" ref="M75:M88" si="24">L75/A75</f>
        <v>7556900.5288803438</v>
      </c>
      <c r="N75" s="6"/>
      <c r="O75" s="10">
        <f t="shared" si="20"/>
        <v>173.12791117872663</v>
      </c>
      <c r="P75" s="10">
        <f t="shared" si="21"/>
        <v>2.583998674309353</v>
      </c>
      <c r="Q75" s="10">
        <f t="shared" si="22"/>
        <v>506.31233543498303</v>
      </c>
      <c r="R75" s="10">
        <f t="shared" si="22"/>
        <v>7.5569005288803437</v>
      </c>
      <c r="S75" s="6"/>
    </row>
    <row r="76" spans="1:19" x14ac:dyDescent="0.25">
      <c r="A76">
        <v>68</v>
      </c>
      <c r="B76" s="1">
        <f t="shared" si="23"/>
        <v>6800000000</v>
      </c>
      <c r="C76" s="1">
        <v>49320</v>
      </c>
      <c r="D76" s="1">
        <v>49320</v>
      </c>
      <c r="E76" s="1">
        <v>47060</v>
      </c>
      <c r="F76" s="6">
        <f t="shared" si="13"/>
        <v>275750202.75750202</v>
      </c>
      <c r="G76" s="6">
        <f t="shared" si="14"/>
        <v>275750202.75750202</v>
      </c>
      <c r="H76" s="6">
        <f t="shared" si="15"/>
        <v>288992775.18062049</v>
      </c>
      <c r="I76" s="6">
        <f t="shared" si="16"/>
        <v>4055150.0405515004</v>
      </c>
      <c r="J76" s="6">
        <f t="shared" si="17"/>
        <v>4055150.0405515004</v>
      </c>
      <c r="K76" s="6">
        <f t="shared" si="18"/>
        <v>4249893.7526561841</v>
      </c>
      <c r="L76" s="6">
        <f t="shared" si="19"/>
        <v>506312335.43498302</v>
      </c>
      <c r="M76" s="6">
        <f t="shared" si="24"/>
        <v>7445769.6387497503</v>
      </c>
      <c r="N76" s="6"/>
      <c r="O76" s="10">
        <f t="shared" si="20"/>
        <v>280.16439356520817</v>
      </c>
      <c r="P76" s="10">
        <f t="shared" si="21"/>
        <v>4.1200646112530617</v>
      </c>
      <c r="Q76" s="10">
        <f t="shared" si="22"/>
        <v>506.31233543498303</v>
      </c>
      <c r="R76" s="10">
        <f t="shared" si="22"/>
        <v>7.4457696387497503</v>
      </c>
      <c r="S76" s="6"/>
    </row>
    <row r="77" spans="1:19" x14ac:dyDescent="0.25">
      <c r="A77">
        <v>69</v>
      </c>
      <c r="B77" s="1">
        <f t="shared" si="23"/>
        <v>6900000000</v>
      </c>
      <c r="C77" s="1">
        <v>78610</v>
      </c>
      <c r="D77" s="1">
        <v>78610</v>
      </c>
      <c r="E77" s="1">
        <v>55370</v>
      </c>
      <c r="F77" s="6">
        <f t="shared" si="13"/>
        <v>175550184.45490396</v>
      </c>
      <c r="G77" s="6">
        <f t="shared" si="14"/>
        <v>175550184.45490396</v>
      </c>
      <c r="H77" s="6">
        <f t="shared" si="15"/>
        <v>249232436.33736682</v>
      </c>
      <c r="I77" s="6">
        <f t="shared" si="16"/>
        <v>2544205.5718102022</v>
      </c>
      <c r="J77" s="6">
        <f t="shared" si="17"/>
        <v>2544205.5718102022</v>
      </c>
      <c r="K77" s="6">
        <f t="shared" si="18"/>
        <v>3612064.2947444469</v>
      </c>
      <c r="L77" s="6">
        <f t="shared" si="19"/>
        <v>506312335.43498302</v>
      </c>
      <c r="M77" s="6">
        <f t="shared" si="24"/>
        <v>7337859.9338403335</v>
      </c>
      <c r="N77" s="6"/>
      <c r="O77" s="10">
        <f t="shared" si="20"/>
        <v>200.11093508239159</v>
      </c>
      <c r="P77" s="10">
        <f t="shared" si="21"/>
        <v>2.9001584794549511</v>
      </c>
      <c r="Q77" s="10">
        <f t="shared" si="22"/>
        <v>506.31233543498303</v>
      </c>
      <c r="R77" s="10">
        <f t="shared" si="22"/>
        <v>7.3378599338403339</v>
      </c>
      <c r="S77" s="6"/>
    </row>
    <row r="78" spans="1:19" x14ac:dyDescent="0.25">
      <c r="A78">
        <v>70</v>
      </c>
      <c r="B78" s="1">
        <f t="shared" si="23"/>
        <v>7000000000</v>
      </c>
      <c r="C78" s="1">
        <v>46060</v>
      </c>
      <c r="D78" s="1">
        <v>46060</v>
      </c>
      <c r="E78" s="1">
        <v>45480</v>
      </c>
      <c r="F78" s="6">
        <f t="shared" si="13"/>
        <v>303951367.78115505</v>
      </c>
      <c r="G78" s="6">
        <f t="shared" si="14"/>
        <v>303951367.78115505</v>
      </c>
      <c r="H78" s="6">
        <f t="shared" si="15"/>
        <v>307827616.53474057</v>
      </c>
      <c r="I78" s="6">
        <f t="shared" si="16"/>
        <v>4342162.3968736436</v>
      </c>
      <c r="J78" s="6">
        <f t="shared" si="17"/>
        <v>4342162.3968736436</v>
      </c>
      <c r="K78" s="6">
        <f t="shared" si="18"/>
        <v>4397537.3790677227</v>
      </c>
      <c r="L78" s="6">
        <f t="shared" si="19"/>
        <v>506312335.43498302</v>
      </c>
      <c r="M78" s="6">
        <f t="shared" si="24"/>
        <v>7233033.3633569004</v>
      </c>
      <c r="N78" s="6"/>
      <c r="O78" s="10">
        <f t="shared" si="20"/>
        <v>305.24345069901688</v>
      </c>
      <c r="P78" s="10">
        <f t="shared" si="21"/>
        <v>4.3606207242716701</v>
      </c>
      <c r="Q78" s="10">
        <f t="shared" si="22"/>
        <v>506.31233543498303</v>
      </c>
      <c r="R78" s="10">
        <f t="shared" si="22"/>
        <v>7.2330333633569008</v>
      </c>
      <c r="S78" s="6"/>
    </row>
    <row r="79" spans="1:19" x14ac:dyDescent="0.25">
      <c r="A79">
        <v>71</v>
      </c>
      <c r="B79" s="1">
        <f t="shared" si="23"/>
        <v>7100000000</v>
      </c>
      <c r="C79" s="1">
        <v>48200</v>
      </c>
      <c r="D79" s="1">
        <v>48200</v>
      </c>
      <c r="E79" s="1">
        <v>77370</v>
      </c>
      <c r="F79" s="6">
        <f t="shared" si="13"/>
        <v>294605809.12863076</v>
      </c>
      <c r="G79" s="6">
        <f t="shared" si="14"/>
        <v>294605809.12863076</v>
      </c>
      <c r="H79" s="6">
        <f t="shared" si="15"/>
        <v>183533669.38089699</v>
      </c>
      <c r="I79" s="6">
        <f t="shared" si="16"/>
        <v>4149377.5933609968</v>
      </c>
      <c r="J79" s="6">
        <f t="shared" si="17"/>
        <v>4149377.5933609968</v>
      </c>
      <c r="K79" s="6">
        <f t="shared" si="18"/>
        <v>2584981.258885873</v>
      </c>
      <c r="L79" s="6">
        <f t="shared" si="19"/>
        <v>506312335.43498302</v>
      </c>
      <c r="M79" s="6">
        <f t="shared" si="24"/>
        <v>7131159.6540138451</v>
      </c>
      <c r="N79" s="6"/>
      <c r="O79" s="10">
        <f t="shared" si="20"/>
        <v>257.58176254605286</v>
      </c>
      <c r="P79" s="10">
        <f t="shared" si="21"/>
        <v>3.6279121485359558</v>
      </c>
      <c r="Q79" s="10">
        <f t="shared" si="22"/>
        <v>506.31233543498303</v>
      </c>
      <c r="R79" s="10">
        <f t="shared" si="22"/>
        <v>7.1311596540138451</v>
      </c>
      <c r="S79" s="6"/>
    </row>
    <row r="80" spans="1:19" x14ac:dyDescent="0.25">
      <c r="A80">
        <v>72</v>
      </c>
      <c r="B80" s="1">
        <f t="shared" si="23"/>
        <v>7200000000</v>
      </c>
      <c r="C80" s="1">
        <v>65640</v>
      </c>
      <c r="D80" s="1">
        <v>65640</v>
      </c>
      <c r="E80" s="1">
        <v>77780</v>
      </c>
      <c r="F80" s="6">
        <f t="shared" si="13"/>
        <v>219378427.78793418</v>
      </c>
      <c r="G80" s="6">
        <f t="shared" si="14"/>
        <v>219378427.78793418</v>
      </c>
      <c r="H80" s="6">
        <f t="shared" si="15"/>
        <v>185137567.49807149</v>
      </c>
      <c r="I80" s="6">
        <f t="shared" si="16"/>
        <v>3046922.6081657526</v>
      </c>
      <c r="J80" s="6">
        <f t="shared" si="17"/>
        <v>3046922.6081657526</v>
      </c>
      <c r="K80" s="6">
        <f t="shared" si="18"/>
        <v>2571355.1041398817</v>
      </c>
      <c r="L80" s="6">
        <f t="shared" si="19"/>
        <v>506312335.43498302</v>
      </c>
      <c r="M80" s="6">
        <f t="shared" si="24"/>
        <v>7032115.7699303199</v>
      </c>
      <c r="N80" s="6"/>
      <c r="O80" s="10">
        <f t="shared" si="20"/>
        <v>207.96480769131327</v>
      </c>
      <c r="P80" s="10">
        <f t="shared" si="21"/>
        <v>2.8884001068237959</v>
      </c>
      <c r="Q80" s="10">
        <f t="shared" si="22"/>
        <v>506.31233543498303</v>
      </c>
      <c r="R80" s="10">
        <f t="shared" si="22"/>
        <v>7.0321157699303196</v>
      </c>
      <c r="S80" s="6"/>
    </row>
    <row r="81" spans="1:19" x14ac:dyDescent="0.25">
      <c r="A81">
        <v>73</v>
      </c>
      <c r="B81" s="1">
        <f t="shared" si="23"/>
        <v>7300000000</v>
      </c>
      <c r="C81" s="1">
        <v>55790</v>
      </c>
      <c r="D81" s="1">
        <v>55790</v>
      </c>
      <c r="E81" s="1">
        <v>95830</v>
      </c>
      <c r="F81" s="6">
        <f t="shared" si="13"/>
        <v>261695644.38071337</v>
      </c>
      <c r="G81" s="6">
        <f t="shared" si="14"/>
        <v>261695644.38071337</v>
      </c>
      <c r="H81" s="6">
        <f t="shared" si="15"/>
        <v>152353125.32609829</v>
      </c>
      <c r="I81" s="6">
        <f t="shared" si="16"/>
        <v>3584871.84083169</v>
      </c>
      <c r="J81" s="6">
        <f t="shared" si="17"/>
        <v>3584871.84083169</v>
      </c>
      <c r="K81" s="6">
        <f t="shared" si="18"/>
        <v>2087029.1140561411</v>
      </c>
      <c r="L81" s="6">
        <f t="shared" si="19"/>
        <v>506312335.43498302</v>
      </c>
      <c r="M81" s="6">
        <f t="shared" si="24"/>
        <v>6935785.4169175755</v>
      </c>
      <c r="N81" s="6"/>
      <c r="O81" s="10">
        <f t="shared" si="20"/>
        <v>225.24813802917501</v>
      </c>
      <c r="P81" s="10">
        <f t="shared" si="21"/>
        <v>3.0855909319065069</v>
      </c>
      <c r="Q81" s="10">
        <f t="shared" si="22"/>
        <v>506.31233543498303</v>
      </c>
      <c r="R81" s="10">
        <f t="shared" si="22"/>
        <v>6.9357854169175752</v>
      </c>
      <c r="S81" s="6"/>
    </row>
    <row r="82" spans="1:19" x14ac:dyDescent="0.25">
      <c r="A82">
        <v>74</v>
      </c>
      <c r="B82" s="1">
        <f t="shared" si="23"/>
        <v>7400000000</v>
      </c>
      <c r="C82" s="1">
        <v>65140</v>
      </c>
      <c r="D82" s="1">
        <v>65140</v>
      </c>
      <c r="E82" s="1">
        <v>41530</v>
      </c>
      <c r="F82" s="6">
        <f t="shared" si="13"/>
        <v>227202947.49769726</v>
      </c>
      <c r="G82" s="6">
        <f t="shared" si="14"/>
        <v>227202947.49769726</v>
      </c>
      <c r="H82" s="6">
        <f t="shared" si="15"/>
        <v>356368889.95906574</v>
      </c>
      <c r="I82" s="6">
        <f t="shared" si="16"/>
        <v>3070310.1013202332</v>
      </c>
      <c r="J82" s="6">
        <f t="shared" si="17"/>
        <v>3070310.1013202332</v>
      </c>
      <c r="K82" s="6">
        <f t="shared" si="18"/>
        <v>4815795.8102576453</v>
      </c>
      <c r="L82" s="6">
        <f t="shared" si="19"/>
        <v>506312335.43498302</v>
      </c>
      <c r="M82" s="6">
        <f t="shared" si="24"/>
        <v>6842058.5869592298</v>
      </c>
      <c r="N82" s="6"/>
      <c r="O82" s="10">
        <f t="shared" si="20"/>
        <v>270.25826165148675</v>
      </c>
      <c r="P82" s="10">
        <f t="shared" si="21"/>
        <v>3.6521386709660373</v>
      </c>
      <c r="Q82" s="10">
        <f t="shared" si="22"/>
        <v>506.31233543498303</v>
      </c>
      <c r="R82" s="10">
        <f t="shared" si="22"/>
        <v>6.8420585869592294</v>
      </c>
      <c r="S82" s="6"/>
    </row>
    <row r="83" spans="1:19" x14ac:dyDescent="0.25">
      <c r="A83">
        <v>75</v>
      </c>
      <c r="B83" s="1">
        <f t="shared" si="23"/>
        <v>7500000000</v>
      </c>
      <c r="C83" s="1">
        <v>31130</v>
      </c>
      <c r="D83" s="1">
        <v>31130</v>
      </c>
      <c r="E83" s="1">
        <v>98250</v>
      </c>
      <c r="F83" s="6">
        <f t="shared" si="13"/>
        <v>481850305.17185992</v>
      </c>
      <c r="G83" s="6">
        <f t="shared" si="14"/>
        <v>481850305.17185992</v>
      </c>
      <c r="H83" s="6">
        <f t="shared" si="15"/>
        <v>152671755.72519082</v>
      </c>
      <c r="I83" s="6">
        <f t="shared" si="16"/>
        <v>6424670.7356247986</v>
      </c>
      <c r="J83" s="6">
        <f t="shared" si="17"/>
        <v>6424670.7356247986</v>
      </c>
      <c r="K83" s="6">
        <f t="shared" si="18"/>
        <v>2035623.4096692109</v>
      </c>
      <c r="L83" s="6">
        <f t="shared" si="19"/>
        <v>506312335.43498302</v>
      </c>
      <c r="M83" s="6">
        <f t="shared" si="24"/>
        <v>6750831.1391331069</v>
      </c>
      <c r="N83" s="6"/>
      <c r="O83" s="10">
        <f t="shared" si="20"/>
        <v>372.1241220229702</v>
      </c>
      <c r="P83" s="10">
        <f t="shared" si="21"/>
        <v>4.9616549603062694</v>
      </c>
      <c r="Q83" s="10">
        <f t="shared" si="22"/>
        <v>506.31233543498303</v>
      </c>
      <c r="R83" s="10">
        <f t="shared" si="22"/>
        <v>6.7508311391331066</v>
      </c>
      <c r="S83" s="6"/>
    </row>
    <row r="84" spans="1:19" x14ac:dyDescent="0.25">
      <c r="A84">
        <v>76</v>
      </c>
      <c r="B84" s="1">
        <f t="shared" si="23"/>
        <v>7600000000</v>
      </c>
      <c r="C84" s="1">
        <v>84000</v>
      </c>
      <c r="D84" s="1">
        <v>84000</v>
      </c>
      <c r="E84" s="1">
        <v>46780</v>
      </c>
      <c r="F84" s="6">
        <f t="shared" si="13"/>
        <v>180952380.95238096</v>
      </c>
      <c r="G84" s="6">
        <f t="shared" si="14"/>
        <v>180952380.95238096</v>
      </c>
      <c r="H84" s="6">
        <f t="shared" si="15"/>
        <v>324925181.7015819</v>
      </c>
      <c r="I84" s="6">
        <f t="shared" si="16"/>
        <v>2380952.3809523811</v>
      </c>
      <c r="J84" s="6">
        <f t="shared" si="17"/>
        <v>2380952.3809523811</v>
      </c>
      <c r="K84" s="6">
        <f t="shared" si="18"/>
        <v>4275331.3381787091</v>
      </c>
      <c r="L84" s="6">
        <f t="shared" si="19"/>
        <v>506312335.43498302</v>
      </c>
      <c r="M84" s="6">
        <f t="shared" si="24"/>
        <v>6662004.4136181977</v>
      </c>
      <c r="N84" s="6"/>
      <c r="O84" s="10">
        <f t="shared" si="20"/>
        <v>228.94331453544794</v>
      </c>
      <c r="P84" s="10">
        <f t="shared" si="21"/>
        <v>3.0124120333611568</v>
      </c>
      <c r="Q84" s="10">
        <f t="shared" si="22"/>
        <v>506.31233543498303</v>
      </c>
      <c r="R84" s="10">
        <f t="shared" si="22"/>
        <v>6.662004413618198</v>
      </c>
      <c r="S84" s="6"/>
    </row>
    <row r="85" spans="1:19" x14ac:dyDescent="0.25">
      <c r="A85">
        <v>77</v>
      </c>
      <c r="B85" s="1">
        <f t="shared" si="23"/>
        <v>7700000000</v>
      </c>
      <c r="C85" s="1">
        <v>58520</v>
      </c>
      <c r="D85" s="1">
        <v>58520</v>
      </c>
      <c r="E85" s="1">
        <v>75110</v>
      </c>
      <c r="F85" s="6">
        <f t="shared" si="13"/>
        <v>263157894.73684207</v>
      </c>
      <c r="G85" s="6">
        <f t="shared" si="14"/>
        <v>263157894.73684207</v>
      </c>
      <c r="H85" s="6">
        <f t="shared" si="15"/>
        <v>205032618.82572228</v>
      </c>
      <c r="I85" s="6">
        <f t="shared" si="16"/>
        <v>3417634.9965823647</v>
      </c>
      <c r="J85" s="6">
        <f t="shared" si="17"/>
        <v>3417634.9965823647</v>
      </c>
      <c r="K85" s="6">
        <f t="shared" si="18"/>
        <v>2662761.2834509388</v>
      </c>
      <c r="L85" s="6">
        <f t="shared" si="19"/>
        <v>506312335.43498302</v>
      </c>
      <c r="M85" s="6">
        <f t="shared" si="24"/>
        <v>6575484.8757790001</v>
      </c>
      <c r="N85" s="6"/>
      <c r="O85" s="10">
        <f t="shared" si="20"/>
        <v>243.78280276646879</v>
      </c>
      <c r="P85" s="10">
        <f t="shared" si="21"/>
        <v>3.1660104255385564</v>
      </c>
      <c r="Q85" s="10">
        <f t="shared" si="22"/>
        <v>506.31233543498303</v>
      </c>
      <c r="R85" s="10">
        <f t="shared" si="22"/>
        <v>6.5754848757789999</v>
      </c>
      <c r="S85" s="6"/>
    </row>
    <row r="86" spans="1:19" x14ac:dyDescent="0.25">
      <c r="A86">
        <v>78</v>
      </c>
      <c r="B86" s="1">
        <f t="shared" si="23"/>
        <v>7800000000</v>
      </c>
      <c r="C86" s="1">
        <v>33250</v>
      </c>
      <c r="D86" s="1">
        <v>33250</v>
      </c>
      <c r="E86" s="1">
        <v>52790</v>
      </c>
      <c r="F86" s="6">
        <f t="shared" si="13"/>
        <v>469172932.33082706</v>
      </c>
      <c r="G86" s="6">
        <f t="shared" si="14"/>
        <v>469172932.33082706</v>
      </c>
      <c r="H86" s="6">
        <f t="shared" si="15"/>
        <v>295510513.35480201</v>
      </c>
      <c r="I86" s="6">
        <f t="shared" si="16"/>
        <v>6015037.5939849624</v>
      </c>
      <c r="J86" s="6">
        <f t="shared" si="17"/>
        <v>6015037.5939849624</v>
      </c>
      <c r="K86" s="6">
        <f t="shared" si="18"/>
        <v>3788596.3250615643</v>
      </c>
      <c r="L86" s="6">
        <f t="shared" si="19"/>
        <v>506312335.43498302</v>
      </c>
      <c r="M86" s="6">
        <f t="shared" si="24"/>
        <v>6491183.7876279876</v>
      </c>
      <c r="N86" s="6"/>
      <c r="O86" s="10">
        <f t="shared" si="20"/>
        <v>411.28545933881873</v>
      </c>
      <c r="P86" s="10">
        <f t="shared" si="21"/>
        <v>5.2728905043438301</v>
      </c>
      <c r="Q86" s="10">
        <f t="shared" si="22"/>
        <v>506.31233543498303</v>
      </c>
      <c r="R86" s="10">
        <f t="shared" si="22"/>
        <v>6.4911837876279872</v>
      </c>
      <c r="S86" s="6"/>
    </row>
    <row r="87" spans="1:19" x14ac:dyDescent="0.25">
      <c r="A87">
        <v>79</v>
      </c>
      <c r="B87" s="1">
        <f t="shared" si="23"/>
        <v>7900000000</v>
      </c>
      <c r="C87" s="1">
        <v>34250</v>
      </c>
      <c r="D87" s="1">
        <v>34250</v>
      </c>
      <c r="E87" s="1">
        <v>87860</v>
      </c>
      <c r="F87" s="6">
        <f t="shared" si="13"/>
        <v>461313868.61313868</v>
      </c>
      <c r="G87" s="6">
        <f t="shared" si="14"/>
        <v>461313868.61313868</v>
      </c>
      <c r="H87" s="6">
        <f t="shared" si="15"/>
        <v>179831550.19348964</v>
      </c>
      <c r="I87" s="6">
        <f t="shared" si="16"/>
        <v>5839416.0583941601</v>
      </c>
      <c r="J87" s="6">
        <f t="shared" si="17"/>
        <v>5839416.0583941601</v>
      </c>
      <c r="K87" s="6">
        <f t="shared" si="18"/>
        <v>2276348.7366264514</v>
      </c>
      <c r="L87" s="6">
        <f t="shared" si="19"/>
        <v>506312335.43498302</v>
      </c>
      <c r="M87" s="6">
        <f t="shared" si="24"/>
        <v>6409016.9042402916</v>
      </c>
      <c r="N87" s="6"/>
      <c r="O87" s="10">
        <f t="shared" si="20"/>
        <v>367.48642913992234</v>
      </c>
      <c r="P87" s="10">
        <f t="shared" si="21"/>
        <v>4.6517269511382571</v>
      </c>
      <c r="Q87" s="10">
        <f t="shared" si="22"/>
        <v>506.31233543498303</v>
      </c>
      <c r="R87" s="10">
        <f t="shared" si="22"/>
        <v>6.4090169042402918</v>
      </c>
      <c r="S87" s="6"/>
    </row>
    <row r="88" spans="1:19" x14ac:dyDescent="0.25">
      <c r="A88">
        <v>80</v>
      </c>
      <c r="B88" s="1">
        <f t="shared" si="23"/>
        <v>8000000000</v>
      </c>
      <c r="C88" s="1">
        <v>79100</v>
      </c>
      <c r="D88" s="1">
        <v>79100</v>
      </c>
      <c r="E88" s="1">
        <v>55620</v>
      </c>
      <c r="F88" s="6">
        <f t="shared" si="13"/>
        <v>202275600.50568902</v>
      </c>
      <c r="G88" s="6">
        <f t="shared" si="14"/>
        <v>202275600.50568902</v>
      </c>
      <c r="H88" s="6">
        <f t="shared" si="15"/>
        <v>287666307.08378279</v>
      </c>
      <c r="I88" s="6">
        <f t="shared" si="16"/>
        <v>2528445.0063211126</v>
      </c>
      <c r="J88" s="6">
        <f t="shared" si="17"/>
        <v>2528445.0063211126</v>
      </c>
      <c r="K88" s="6">
        <f t="shared" si="18"/>
        <v>3595828.8385472847</v>
      </c>
      <c r="L88" s="6">
        <f t="shared" si="19"/>
        <v>506312335.43498302</v>
      </c>
      <c r="M88" s="6">
        <f t="shared" si="24"/>
        <v>6328904.1929372875</v>
      </c>
      <c r="N88" s="6"/>
      <c r="O88" s="10">
        <f t="shared" si="20"/>
        <v>230.73916936505361</v>
      </c>
      <c r="P88" s="10">
        <f t="shared" si="21"/>
        <v>2.8842396170631699</v>
      </c>
      <c r="Q88" s="10">
        <f t="shared" si="22"/>
        <v>506.31233543498303</v>
      </c>
      <c r="R88" s="10">
        <f t="shared" si="22"/>
        <v>6.3289041929372871</v>
      </c>
      <c r="S88" s="6"/>
    </row>
    <row r="90" spans="1:19" x14ac:dyDescent="0.25">
      <c r="C90" s="12" t="s">
        <v>25</v>
      </c>
      <c r="D90" s="12"/>
    </row>
    <row r="91" spans="1:19" x14ac:dyDescent="0.25">
      <c r="C91" s="12" t="s">
        <v>26</v>
      </c>
      <c r="D91" s="12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CD05-B4C3-4A22-844E-7A2A41873392}">
  <dimension ref="A1:U88"/>
  <sheetViews>
    <sheetView topLeftCell="K1" zoomScaleNormal="100" workbookViewId="0">
      <selection sqref="A1:M1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18720</v>
      </c>
      <c r="D9" s="1">
        <v>17380</v>
      </c>
      <c r="E9" s="1">
        <v>17610</v>
      </c>
      <c r="F9" s="6">
        <f>B9*2/C9*1000</f>
        <v>10683760.683760684</v>
      </c>
      <c r="G9" s="6">
        <f>B9*2/D9*1000</f>
        <v>11507479.861910243</v>
      </c>
      <c r="H9" s="6">
        <f>B9*2/E9*1000</f>
        <v>11357183.41851221</v>
      </c>
      <c r="I9" s="6">
        <f>F9/A9</f>
        <v>10683760.683760684</v>
      </c>
      <c r="J9" s="6">
        <f>G9/A9</f>
        <v>11507479.861910243</v>
      </c>
      <c r="K9" s="6">
        <f>H9/A9</f>
        <v>11357183.41851221</v>
      </c>
      <c r="L9" s="6">
        <f>(F9+G9+H9)/3</f>
        <v>11182807.988061046</v>
      </c>
      <c r="M9" s="6">
        <f>L9/A9</f>
        <v>11182807.988061046</v>
      </c>
      <c r="N9" s="6"/>
      <c r="O9" s="10">
        <f>(F9+G9+H9)/3/1000000</f>
        <v>11.182807988061047</v>
      </c>
      <c r="P9" s="10">
        <f>(I9+J9+K9)/3/1000000</f>
        <v>11.182807988061047</v>
      </c>
      <c r="Q9" s="10">
        <f>L9/1000000</f>
        <v>11.182807988061047</v>
      </c>
      <c r="R9" s="10">
        <f>M9/1000000</f>
        <v>11.182807988061047</v>
      </c>
      <c r="S9" s="6"/>
    </row>
    <row r="10" spans="1:19" x14ac:dyDescent="0.25">
      <c r="A10">
        <v>2</v>
      </c>
      <c r="B10" s="1">
        <f>$B$9*A10</f>
        <v>200000000</v>
      </c>
      <c r="C10" s="1">
        <v>17960</v>
      </c>
      <c r="D10" s="1">
        <v>18370</v>
      </c>
      <c r="E10" s="1">
        <v>18110</v>
      </c>
      <c r="F10" s="6">
        <f t="shared" ref="F10:F73" si="0">B10*2/C10*1000</f>
        <v>22271714.922049001</v>
      </c>
      <c r="G10" s="6">
        <f t="shared" ref="G10:G73" si="1">B10*2/D10*1000</f>
        <v>21774632.553075667</v>
      </c>
      <c r="H10" s="6">
        <f t="shared" ref="H10:H73" si="2">B10*2/E10*1000</f>
        <v>22087244.616234127</v>
      </c>
      <c r="I10" s="6">
        <f t="shared" ref="I10:I73" si="3">F10/A10</f>
        <v>11135857.4610245</v>
      </c>
      <c r="J10" s="6">
        <f t="shared" ref="J10:J73" si="4">G10/A10</f>
        <v>10887316.276537834</v>
      </c>
      <c r="K10" s="6">
        <f t="shared" ref="K10:K73" si="5">H10/A10</f>
        <v>11043622.308117064</v>
      </c>
      <c r="L10" s="6">
        <f t="shared" ref="L10:L40" si="6">$L$9*A10</f>
        <v>22365615.976122092</v>
      </c>
      <c r="M10" s="6">
        <f t="shared" ref="M10:M74" si="7">L10/A10</f>
        <v>11182807.988061046</v>
      </c>
      <c r="N10" s="6"/>
      <c r="O10" s="10">
        <f t="shared" ref="O10:O73" si="8">(F10+G10+H10)/3/1000000</f>
        <v>22.044530697119598</v>
      </c>
      <c r="P10" s="10">
        <f t="shared" ref="P10:P73" si="9">(I10+J10+K10)/3/1000000</f>
        <v>11.022265348559799</v>
      </c>
      <c r="Q10" s="10">
        <f t="shared" ref="Q10:R73" si="10">L10/1000000</f>
        <v>22.365615976122093</v>
      </c>
      <c r="R10" s="10">
        <f t="shared" si="10"/>
        <v>11.182807988061047</v>
      </c>
      <c r="S10" s="6"/>
    </row>
    <row r="11" spans="1:19" x14ac:dyDescent="0.25">
      <c r="A11">
        <v>3</v>
      </c>
      <c r="B11" s="1">
        <f t="shared" ref="B11:B74" si="11">$B$9*A11</f>
        <v>300000000</v>
      </c>
      <c r="C11" s="1">
        <v>18080</v>
      </c>
      <c r="D11" s="1">
        <v>18010</v>
      </c>
      <c r="E11" s="1">
        <v>18220</v>
      </c>
      <c r="F11" s="6">
        <f t="shared" si="0"/>
        <v>33185840.707964599</v>
      </c>
      <c r="G11" s="6">
        <f t="shared" si="1"/>
        <v>33314825.097168244</v>
      </c>
      <c r="H11" s="6">
        <f t="shared" si="2"/>
        <v>32930845.225027442</v>
      </c>
      <c r="I11" s="6">
        <f t="shared" si="3"/>
        <v>11061946.902654866</v>
      </c>
      <c r="J11" s="6">
        <f t="shared" si="4"/>
        <v>11104941.699056081</v>
      </c>
      <c r="K11" s="6">
        <f t="shared" si="5"/>
        <v>10976948.408342481</v>
      </c>
      <c r="L11" s="6">
        <f t="shared" si="6"/>
        <v>33548423.964183137</v>
      </c>
      <c r="M11" s="6">
        <f t="shared" si="7"/>
        <v>11182807.988061046</v>
      </c>
      <c r="N11" s="6"/>
      <c r="O11" s="10">
        <f t="shared" si="8"/>
        <v>33.143837010053424</v>
      </c>
      <c r="P11" s="10">
        <f t="shared" si="9"/>
        <v>11.047945670017809</v>
      </c>
      <c r="Q11" s="10">
        <f t="shared" si="10"/>
        <v>33.548423964183137</v>
      </c>
      <c r="R11" s="10">
        <f t="shared" si="10"/>
        <v>11.182807988061047</v>
      </c>
      <c r="S11" s="6"/>
    </row>
    <row r="12" spans="1:19" x14ac:dyDescent="0.25">
      <c r="A12">
        <v>4</v>
      </c>
      <c r="B12" s="1">
        <f t="shared" si="11"/>
        <v>400000000</v>
      </c>
      <c r="C12" s="1">
        <v>18130</v>
      </c>
      <c r="D12" s="1">
        <v>18170</v>
      </c>
      <c r="E12" s="1">
        <v>18370</v>
      </c>
      <c r="F12" s="6">
        <f t="shared" si="0"/>
        <v>44125758.411472701</v>
      </c>
      <c r="G12" s="6">
        <f t="shared" si="1"/>
        <v>44028618.602091357</v>
      </c>
      <c r="H12" s="6">
        <f t="shared" si="2"/>
        <v>43549265.106151335</v>
      </c>
      <c r="I12" s="6">
        <f t="shared" si="3"/>
        <v>11031439.602868175</v>
      </c>
      <c r="J12" s="6">
        <f t="shared" si="4"/>
        <v>11007154.650522839</v>
      </c>
      <c r="K12" s="6">
        <f t="shared" si="5"/>
        <v>10887316.276537834</v>
      </c>
      <c r="L12" s="6">
        <f t="shared" si="6"/>
        <v>44731231.952244185</v>
      </c>
      <c r="M12" s="6">
        <f t="shared" si="7"/>
        <v>11182807.988061046</v>
      </c>
      <c r="N12" s="6"/>
      <c r="O12" s="10">
        <f t="shared" si="8"/>
        <v>43.901214039905128</v>
      </c>
      <c r="P12" s="10">
        <f t="shared" si="9"/>
        <v>10.975303509976282</v>
      </c>
      <c r="Q12" s="10">
        <f t="shared" si="10"/>
        <v>44.731231952244187</v>
      </c>
      <c r="R12" s="10">
        <f t="shared" si="10"/>
        <v>11.182807988061047</v>
      </c>
      <c r="S12" s="6"/>
    </row>
    <row r="13" spans="1:19" x14ac:dyDescent="0.25">
      <c r="A13">
        <v>5</v>
      </c>
      <c r="B13" s="1">
        <f t="shared" si="11"/>
        <v>500000000</v>
      </c>
      <c r="C13" s="1">
        <v>18240</v>
      </c>
      <c r="D13" s="1">
        <v>18280</v>
      </c>
      <c r="E13" s="1">
        <v>18320</v>
      </c>
      <c r="F13" s="6">
        <f t="shared" si="0"/>
        <v>54824561.403508767</v>
      </c>
      <c r="G13" s="6">
        <f t="shared" si="1"/>
        <v>54704595.185995623</v>
      </c>
      <c r="H13" s="6">
        <f t="shared" si="2"/>
        <v>54585152.838427946</v>
      </c>
      <c r="I13" s="6">
        <f t="shared" si="3"/>
        <v>10964912.280701753</v>
      </c>
      <c r="J13" s="6">
        <f t="shared" si="4"/>
        <v>10940919.037199125</v>
      </c>
      <c r="K13" s="6">
        <f t="shared" si="5"/>
        <v>10917030.567685589</v>
      </c>
      <c r="L13" s="6">
        <f t="shared" si="6"/>
        <v>55914039.940305233</v>
      </c>
      <c r="M13" s="6">
        <f t="shared" si="7"/>
        <v>11182807.988061046</v>
      </c>
      <c r="N13" s="6"/>
      <c r="O13" s="10">
        <f t="shared" si="8"/>
        <v>54.704769809310768</v>
      </c>
      <c r="P13" s="10">
        <f t="shared" si="9"/>
        <v>10.940953961862157</v>
      </c>
      <c r="Q13" s="10">
        <f t="shared" si="10"/>
        <v>55.91403994030523</v>
      </c>
      <c r="R13" s="10">
        <f t="shared" si="10"/>
        <v>11.182807988061047</v>
      </c>
      <c r="S13" s="6"/>
    </row>
    <row r="14" spans="1:19" x14ac:dyDescent="0.25">
      <c r="A14">
        <v>6</v>
      </c>
      <c r="B14" s="1">
        <f t="shared" si="11"/>
        <v>600000000</v>
      </c>
      <c r="C14" s="1">
        <v>17940</v>
      </c>
      <c r="D14" s="1">
        <v>18180</v>
      </c>
      <c r="E14" s="1">
        <v>18110</v>
      </c>
      <c r="F14" s="6">
        <f t="shared" si="0"/>
        <v>66889632.10702341</v>
      </c>
      <c r="G14" s="6">
        <f t="shared" si="1"/>
        <v>66006600.660066001</v>
      </c>
      <c r="H14" s="6">
        <f t="shared" si="2"/>
        <v>66261733.848702379</v>
      </c>
      <c r="I14" s="6">
        <f t="shared" si="3"/>
        <v>11148272.017837236</v>
      </c>
      <c r="J14" s="6">
        <f t="shared" si="4"/>
        <v>11001100.110011</v>
      </c>
      <c r="K14" s="6">
        <f t="shared" si="5"/>
        <v>11043622.308117064</v>
      </c>
      <c r="L14" s="6">
        <f t="shared" si="6"/>
        <v>67096847.928366274</v>
      </c>
      <c r="M14" s="6">
        <f t="shared" si="7"/>
        <v>11182807.988061046</v>
      </c>
      <c r="N14" s="6"/>
      <c r="O14" s="10">
        <f t="shared" si="8"/>
        <v>66.385988871930593</v>
      </c>
      <c r="P14" s="10">
        <f t="shared" si="9"/>
        <v>11.064331478655101</v>
      </c>
      <c r="Q14" s="10">
        <f t="shared" si="10"/>
        <v>67.096847928366273</v>
      </c>
      <c r="R14" s="10">
        <f t="shared" si="10"/>
        <v>11.182807988061047</v>
      </c>
      <c r="S14" s="6"/>
    </row>
    <row r="15" spans="1:19" x14ac:dyDescent="0.25">
      <c r="A15">
        <v>7</v>
      </c>
      <c r="B15" s="1">
        <f t="shared" si="11"/>
        <v>700000000</v>
      </c>
      <c r="C15" s="1">
        <v>18080</v>
      </c>
      <c r="D15" s="1">
        <v>18650</v>
      </c>
      <c r="E15" s="1">
        <v>18370</v>
      </c>
      <c r="F15" s="6">
        <f t="shared" si="0"/>
        <v>77433628.31858407</v>
      </c>
      <c r="G15" s="6">
        <f t="shared" si="1"/>
        <v>75067024.128686324</v>
      </c>
      <c r="H15" s="6">
        <f t="shared" si="2"/>
        <v>76211213.935764834</v>
      </c>
      <c r="I15" s="6">
        <f t="shared" si="3"/>
        <v>11061946.902654868</v>
      </c>
      <c r="J15" s="6">
        <f t="shared" si="4"/>
        <v>10723860.589812333</v>
      </c>
      <c r="K15" s="6">
        <f t="shared" si="5"/>
        <v>10887316.276537834</v>
      </c>
      <c r="L15" s="6">
        <f t="shared" si="6"/>
        <v>78279655.916427329</v>
      </c>
      <c r="M15" s="6">
        <f t="shared" si="7"/>
        <v>11182807.988061046</v>
      </c>
      <c r="N15" s="6"/>
      <c r="O15" s="10">
        <f t="shared" si="8"/>
        <v>76.237288794345076</v>
      </c>
      <c r="P15" s="10">
        <f t="shared" si="9"/>
        <v>10.891041256335013</v>
      </c>
      <c r="Q15" s="10">
        <f t="shared" si="10"/>
        <v>78.27965591642733</v>
      </c>
      <c r="R15" s="10">
        <f t="shared" si="10"/>
        <v>11.182807988061047</v>
      </c>
      <c r="S15" s="6"/>
    </row>
    <row r="16" spans="1:19" x14ac:dyDescent="0.25">
      <c r="A16">
        <v>8</v>
      </c>
      <c r="B16" s="1">
        <f t="shared" si="11"/>
        <v>800000000</v>
      </c>
      <c r="C16" s="1">
        <v>18290</v>
      </c>
      <c r="D16" s="1">
        <v>18080</v>
      </c>
      <c r="E16" s="1">
        <v>18320</v>
      </c>
      <c r="F16" s="6">
        <f t="shared" si="0"/>
        <v>87479496.992892295</v>
      </c>
      <c r="G16" s="6">
        <f t="shared" si="1"/>
        <v>88495575.221238941</v>
      </c>
      <c r="H16" s="6">
        <f t="shared" si="2"/>
        <v>87336244.541484714</v>
      </c>
      <c r="I16" s="6">
        <f t="shared" si="3"/>
        <v>10934937.124111537</v>
      </c>
      <c r="J16" s="6">
        <f t="shared" si="4"/>
        <v>11061946.902654868</v>
      </c>
      <c r="K16" s="6">
        <f t="shared" si="5"/>
        <v>10917030.567685589</v>
      </c>
      <c r="L16" s="6">
        <f t="shared" si="6"/>
        <v>89462463.90448837</v>
      </c>
      <c r="M16" s="6">
        <f t="shared" si="7"/>
        <v>11182807.988061046</v>
      </c>
      <c r="N16" s="6"/>
      <c r="O16" s="10">
        <f t="shared" si="8"/>
        <v>87.770438918538645</v>
      </c>
      <c r="P16" s="10">
        <f t="shared" si="9"/>
        <v>10.971304864817331</v>
      </c>
      <c r="Q16" s="10">
        <f t="shared" si="10"/>
        <v>89.462463904488374</v>
      </c>
      <c r="R16" s="10">
        <f t="shared" si="10"/>
        <v>11.182807988061047</v>
      </c>
      <c r="S16" s="6"/>
    </row>
    <row r="17" spans="1:19" x14ac:dyDescent="0.25">
      <c r="A17">
        <v>9</v>
      </c>
      <c r="B17" s="1">
        <f t="shared" si="11"/>
        <v>900000000</v>
      </c>
      <c r="C17" s="1">
        <v>18190</v>
      </c>
      <c r="D17" s="1">
        <v>17960</v>
      </c>
      <c r="E17" s="1">
        <v>18730</v>
      </c>
      <c r="F17" s="6">
        <f t="shared" si="0"/>
        <v>98955470.038482681</v>
      </c>
      <c r="G17" s="6">
        <f t="shared" si="1"/>
        <v>100222717.1492205</v>
      </c>
      <c r="H17" s="6">
        <f t="shared" si="2"/>
        <v>96102509.343299523</v>
      </c>
      <c r="I17" s="6">
        <f t="shared" si="3"/>
        <v>10995052.226498075</v>
      </c>
      <c r="J17" s="6">
        <f t="shared" si="4"/>
        <v>11135857.4610245</v>
      </c>
      <c r="K17" s="6">
        <f t="shared" si="5"/>
        <v>10678056.593699947</v>
      </c>
      <c r="L17" s="6">
        <f t="shared" si="6"/>
        <v>100645271.89254941</v>
      </c>
      <c r="M17" s="6">
        <f t="shared" si="7"/>
        <v>11182807.988061046</v>
      </c>
      <c r="N17" s="6"/>
      <c r="O17" s="10">
        <f t="shared" si="8"/>
        <v>98.426898843667573</v>
      </c>
      <c r="P17" s="10">
        <f t="shared" si="9"/>
        <v>10.936322093740841</v>
      </c>
      <c r="Q17" s="10">
        <f t="shared" si="10"/>
        <v>100.64527189254942</v>
      </c>
      <c r="R17" s="10">
        <f t="shared" si="10"/>
        <v>11.182807988061047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18520</v>
      </c>
      <c r="D18" s="1">
        <v>17930</v>
      </c>
      <c r="E18" s="1">
        <v>18040</v>
      </c>
      <c r="F18" s="6">
        <f t="shared" si="0"/>
        <v>107991360.69114472</v>
      </c>
      <c r="G18" s="6">
        <f t="shared" si="1"/>
        <v>111544896.82097045</v>
      </c>
      <c r="H18" s="6">
        <f t="shared" si="2"/>
        <v>110864745.01108648</v>
      </c>
      <c r="I18" s="6">
        <f t="shared" si="3"/>
        <v>10799136.069114473</v>
      </c>
      <c r="J18" s="6">
        <f t="shared" si="4"/>
        <v>11154489.682097044</v>
      </c>
      <c r="K18" s="6">
        <f t="shared" si="5"/>
        <v>11086474.501108648</v>
      </c>
      <c r="L18" s="6">
        <f t="shared" si="6"/>
        <v>111828079.88061047</v>
      </c>
      <c r="M18" s="6">
        <f t="shared" si="7"/>
        <v>11182807.988061046</v>
      </c>
      <c r="N18" s="6"/>
      <c r="O18" s="10">
        <f t="shared" si="8"/>
        <v>110.13366750773388</v>
      </c>
      <c r="P18" s="10">
        <f t="shared" si="9"/>
        <v>11.013366750773388</v>
      </c>
      <c r="Q18" s="10">
        <f t="shared" si="10"/>
        <v>111.82807988061046</v>
      </c>
      <c r="R18" s="10">
        <f t="shared" si="10"/>
        <v>11.182807988061047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18220</v>
      </c>
      <c r="D19" s="1">
        <v>18220</v>
      </c>
      <c r="E19" s="1">
        <v>17960</v>
      </c>
      <c r="F19" s="6">
        <f t="shared" si="0"/>
        <v>120746432.49176729</v>
      </c>
      <c r="G19" s="6">
        <f t="shared" si="1"/>
        <v>120746432.49176729</v>
      </c>
      <c r="H19" s="6">
        <f t="shared" si="2"/>
        <v>122494432.07126948</v>
      </c>
      <c r="I19" s="6">
        <f t="shared" si="3"/>
        <v>10976948.408342481</v>
      </c>
      <c r="J19" s="6">
        <f t="shared" si="4"/>
        <v>10976948.408342481</v>
      </c>
      <c r="K19" s="6">
        <f t="shared" si="5"/>
        <v>11135857.461024499</v>
      </c>
      <c r="L19" s="6">
        <f t="shared" si="6"/>
        <v>123010887.86867151</v>
      </c>
      <c r="M19" s="6">
        <f t="shared" si="7"/>
        <v>11182807.988061046</v>
      </c>
      <c r="N19" s="6"/>
      <c r="O19" s="10">
        <f t="shared" si="8"/>
        <v>121.32909901826804</v>
      </c>
      <c r="P19" s="10">
        <f t="shared" si="9"/>
        <v>11.029918092569821</v>
      </c>
      <c r="Q19" s="10">
        <f t="shared" si="10"/>
        <v>123.0108878686715</v>
      </c>
      <c r="R19" s="10">
        <f t="shared" si="10"/>
        <v>11.182807988061047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18340</v>
      </c>
      <c r="D20" s="1">
        <v>18440</v>
      </c>
      <c r="E20" s="1">
        <v>18250</v>
      </c>
      <c r="F20" s="6">
        <f t="shared" si="0"/>
        <v>130861504.90730643</v>
      </c>
      <c r="G20" s="6">
        <f t="shared" si="1"/>
        <v>130151843.81778742</v>
      </c>
      <c r="H20" s="6">
        <f t="shared" si="2"/>
        <v>131506849.31506848</v>
      </c>
      <c r="I20" s="6">
        <f t="shared" si="3"/>
        <v>10905125.408942202</v>
      </c>
      <c r="J20" s="6">
        <f t="shared" si="4"/>
        <v>10845986.984815618</v>
      </c>
      <c r="K20" s="6">
        <f t="shared" si="5"/>
        <v>10958904.10958904</v>
      </c>
      <c r="L20" s="6">
        <f t="shared" si="6"/>
        <v>134193695.85673255</v>
      </c>
      <c r="M20" s="6">
        <f t="shared" si="7"/>
        <v>11182807.988061046</v>
      </c>
      <c r="N20" s="6"/>
      <c r="O20" s="10">
        <f t="shared" si="8"/>
        <v>130.84006601338743</v>
      </c>
      <c r="P20" s="10">
        <f t="shared" si="9"/>
        <v>10.903338834448954</v>
      </c>
      <c r="Q20" s="10">
        <f t="shared" si="10"/>
        <v>134.19369585673255</v>
      </c>
      <c r="R20" s="10">
        <f t="shared" si="10"/>
        <v>11.182807988061047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18100</v>
      </c>
      <c r="D21" s="1">
        <v>18200</v>
      </c>
      <c r="E21" s="1">
        <v>18130</v>
      </c>
      <c r="F21" s="6">
        <f t="shared" si="0"/>
        <v>143646408.83977899</v>
      </c>
      <c r="G21" s="6">
        <f t="shared" si="1"/>
        <v>142857142.85714287</v>
      </c>
      <c r="H21" s="6">
        <f t="shared" si="2"/>
        <v>143408714.83728626</v>
      </c>
      <c r="I21" s="6">
        <f t="shared" si="3"/>
        <v>11049723.756906075</v>
      </c>
      <c r="J21" s="6">
        <f t="shared" si="4"/>
        <v>10989010.98901099</v>
      </c>
      <c r="K21" s="6">
        <f t="shared" si="5"/>
        <v>11031439.602868173</v>
      </c>
      <c r="L21" s="6">
        <f t="shared" si="6"/>
        <v>145376503.84479359</v>
      </c>
      <c r="M21" s="6">
        <f t="shared" si="7"/>
        <v>11182807.988061044</v>
      </c>
      <c r="N21" s="6"/>
      <c r="O21" s="10">
        <f t="shared" si="8"/>
        <v>143.30408884473601</v>
      </c>
      <c r="P21" s="10">
        <f t="shared" si="9"/>
        <v>11.023391449595081</v>
      </c>
      <c r="Q21" s="10">
        <f t="shared" si="10"/>
        <v>145.37650384479358</v>
      </c>
      <c r="R21" s="10">
        <f t="shared" si="10"/>
        <v>11.182807988061045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18160</v>
      </c>
      <c r="D22" s="1">
        <v>18360</v>
      </c>
      <c r="E22" s="1">
        <v>18160</v>
      </c>
      <c r="F22" s="6">
        <f t="shared" si="0"/>
        <v>154185022.02643171</v>
      </c>
      <c r="G22" s="6">
        <f t="shared" si="1"/>
        <v>152505446.62309369</v>
      </c>
      <c r="H22" s="6">
        <f t="shared" si="2"/>
        <v>154185022.02643171</v>
      </c>
      <c r="I22" s="6">
        <f t="shared" si="3"/>
        <v>11013215.859030837</v>
      </c>
      <c r="J22" s="6">
        <f t="shared" si="4"/>
        <v>10893246.187363835</v>
      </c>
      <c r="K22" s="6">
        <f t="shared" si="5"/>
        <v>11013215.859030837</v>
      </c>
      <c r="L22" s="6">
        <f t="shared" si="6"/>
        <v>156559311.83285466</v>
      </c>
      <c r="M22" s="6">
        <f t="shared" si="7"/>
        <v>11182807.988061046</v>
      </c>
      <c r="N22" s="6"/>
      <c r="O22" s="10">
        <f t="shared" si="8"/>
        <v>153.62516355865236</v>
      </c>
      <c r="P22" s="10">
        <f t="shared" si="9"/>
        <v>10.97322596847517</v>
      </c>
      <c r="Q22" s="10">
        <f t="shared" si="10"/>
        <v>156.55931183285466</v>
      </c>
      <c r="R22" s="10">
        <f t="shared" si="10"/>
        <v>11.182807988061047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17970</v>
      </c>
      <c r="D23" s="1">
        <v>18430</v>
      </c>
      <c r="E23" s="1">
        <v>18280</v>
      </c>
      <c r="F23" s="6">
        <f t="shared" si="0"/>
        <v>166944908.1803005</v>
      </c>
      <c r="G23" s="6">
        <f t="shared" si="1"/>
        <v>162778079.21866521</v>
      </c>
      <c r="H23" s="6">
        <f t="shared" si="2"/>
        <v>164113785.55798689</v>
      </c>
      <c r="I23" s="6">
        <f t="shared" si="3"/>
        <v>11129660.545353366</v>
      </c>
      <c r="J23" s="6">
        <f t="shared" si="4"/>
        <v>10851871.947911015</v>
      </c>
      <c r="K23" s="6">
        <f t="shared" si="5"/>
        <v>10940919.037199127</v>
      </c>
      <c r="L23" s="6">
        <f t="shared" si="6"/>
        <v>167742119.8209157</v>
      </c>
      <c r="M23" s="6">
        <f t="shared" si="7"/>
        <v>11182807.988061046</v>
      </c>
      <c r="N23" s="6"/>
      <c r="O23" s="10">
        <f t="shared" si="8"/>
        <v>164.61225765231751</v>
      </c>
      <c r="P23" s="10">
        <f t="shared" si="9"/>
        <v>10.974150510154502</v>
      </c>
      <c r="Q23" s="10">
        <f t="shared" si="10"/>
        <v>167.74211982091569</v>
      </c>
      <c r="R23" s="10">
        <f t="shared" si="10"/>
        <v>11.182807988061047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18470</v>
      </c>
      <c r="D24" s="1">
        <v>18340</v>
      </c>
      <c r="E24" s="1">
        <v>18100</v>
      </c>
      <c r="F24" s="6">
        <f t="shared" si="0"/>
        <v>173253925.28424475</v>
      </c>
      <c r="G24" s="6">
        <f t="shared" si="1"/>
        <v>174482006.54307526</v>
      </c>
      <c r="H24" s="6">
        <f t="shared" si="2"/>
        <v>176795580.11049724</v>
      </c>
      <c r="I24" s="6">
        <f t="shared" si="3"/>
        <v>10828370.330265297</v>
      </c>
      <c r="J24" s="6">
        <f t="shared" si="4"/>
        <v>10905125.408942204</v>
      </c>
      <c r="K24" s="6">
        <f t="shared" si="5"/>
        <v>11049723.756906077</v>
      </c>
      <c r="L24" s="6">
        <f t="shared" si="6"/>
        <v>178924927.80897674</v>
      </c>
      <c r="M24" s="6">
        <f t="shared" si="7"/>
        <v>11182807.988061046</v>
      </c>
      <c r="N24" s="6"/>
      <c r="O24" s="10">
        <f t="shared" si="8"/>
        <v>174.84383731260573</v>
      </c>
      <c r="P24" s="10">
        <f t="shared" si="9"/>
        <v>10.927739832037858</v>
      </c>
      <c r="Q24" s="10">
        <f t="shared" si="10"/>
        <v>178.92492780897675</v>
      </c>
      <c r="R24" s="10">
        <f t="shared" si="10"/>
        <v>11.182807988061047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18010</v>
      </c>
      <c r="D25" s="1">
        <v>18150</v>
      </c>
      <c r="E25" s="1">
        <v>18080</v>
      </c>
      <c r="F25" s="6">
        <f t="shared" si="0"/>
        <v>188784008.88395336</v>
      </c>
      <c r="G25" s="6">
        <f t="shared" si="1"/>
        <v>187327823.69146004</v>
      </c>
      <c r="H25" s="6">
        <f t="shared" si="2"/>
        <v>188053097.34513274</v>
      </c>
      <c r="I25" s="6">
        <f t="shared" si="3"/>
        <v>11104941.69905608</v>
      </c>
      <c r="J25" s="6">
        <f t="shared" si="4"/>
        <v>11019283.746556474</v>
      </c>
      <c r="K25" s="6">
        <f t="shared" si="5"/>
        <v>11061946.902654868</v>
      </c>
      <c r="L25" s="6">
        <f t="shared" si="6"/>
        <v>190107735.79703778</v>
      </c>
      <c r="M25" s="6">
        <f t="shared" si="7"/>
        <v>11182807.988061046</v>
      </c>
      <c r="N25" s="6"/>
      <c r="O25" s="10">
        <f t="shared" si="8"/>
        <v>188.05497664018205</v>
      </c>
      <c r="P25" s="10">
        <f t="shared" si="9"/>
        <v>11.062057449422474</v>
      </c>
      <c r="Q25" s="10">
        <f t="shared" si="10"/>
        <v>190.10773579703778</v>
      </c>
      <c r="R25" s="10">
        <f t="shared" si="10"/>
        <v>11.182807988061047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18240</v>
      </c>
      <c r="D26" s="1">
        <v>18200</v>
      </c>
      <c r="E26" s="1">
        <v>18160</v>
      </c>
      <c r="F26" s="6">
        <f t="shared" si="0"/>
        <v>197368421.05263159</v>
      </c>
      <c r="G26" s="6">
        <f t="shared" si="1"/>
        <v>197802197.80219781</v>
      </c>
      <c r="H26" s="6">
        <f t="shared" si="2"/>
        <v>198237885.46255508</v>
      </c>
      <c r="I26" s="6">
        <f t="shared" si="3"/>
        <v>10964912.280701755</v>
      </c>
      <c r="J26" s="6">
        <f t="shared" si="4"/>
        <v>10989010.98901099</v>
      </c>
      <c r="K26" s="6">
        <f t="shared" si="5"/>
        <v>11013215.859030837</v>
      </c>
      <c r="L26" s="6">
        <f t="shared" si="6"/>
        <v>201290543.78509882</v>
      </c>
      <c r="M26" s="6">
        <f t="shared" si="7"/>
        <v>11182807.988061046</v>
      </c>
      <c r="N26" s="6"/>
      <c r="O26" s="10">
        <f t="shared" si="8"/>
        <v>197.80283477246149</v>
      </c>
      <c r="P26" s="10">
        <f t="shared" si="9"/>
        <v>10.98904637624786</v>
      </c>
      <c r="Q26" s="10">
        <f t="shared" si="10"/>
        <v>201.29054378509883</v>
      </c>
      <c r="R26" s="10">
        <f t="shared" si="10"/>
        <v>11.182807988061047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18160</v>
      </c>
      <c r="D27" s="1">
        <v>18350</v>
      </c>
      <c r="E27" s="1">
        <v>18160</v>
      </c>
      <c r="F27" s="6">
        <f t="shared" si="0"/>
        <v>209251101.32158592</v>
      </c>
      <c r="G27" s="6">
        <f t="shared" si="1"/>
        <v>207084468.66485015</v>
      </c>
      <c r="H27" s="6">
        <f t="shared" si="2"/>
        <v>209251101.32158592</v>
      </c>
      <c r="I27" s="6">
        <f t="shared" si="3"/>
        <v>11013215.859030837</v>
      </c>
      <c r="J27" s="6">
        <f t="shared" si="4"/>
        <v>10899182.561307902</v>
      </c>
      <c r="K27" s="6">
        <f t="shared" si="5"/>
        <v>11013215.859030837</v>
      </c>
      <c r="L27" s="6">
        <f t="shared" si="6"/>
        <v>212473351.77315989</v>
      </c>
      <c r="M27" s="6">
        <f t="shared" si="7"/>
        <v>11182807.988061046</v>
      </c>
      <c r="N27" s="6"/>
      <c r="O27" s="10">
        <f t="shared" si="8"/>
        <v>208.52889043600734</v>
      </c>
      <c r="P27" s="10">
        <f t="shared" si="9"/>
        <v>10.975204759789859</v>
      </c>
      <c r="Q27" s="10">
        <f t="shared" si="10"/>
        <v>212.47335177315989</v>
      </c>
      <c r="R27" s="10">
        <f t="shared" si="10"/>
        <v>11.182807988061047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17740</v>
      </c>
      <c r="D28" s="1">
        <v>18230</v>
      </c>
      <c r="E28" s="1">
        <v>18180</v>
      </c>
      <c r="F28" s="6">
        <f t="shared" si="0"/>
        <v>225479143.1792559</v>
      </c>
      <c r="G28" s="6">
        <f t="shared" si="1"/>
        <v>219418540.86670324</v>
      </c>
      <c r="H28" s="6">
        <f t="shared" si="2"/>
        <v>220022002.20022002</v>
      </c>
      <c r="I28" s="6">
        <f t="shared" si="3"/>
        <v>11273957.158962796</v>
      </c>
      <c r="J28" s="6">
        <f t="shared" si="4"/>
        <v>10970927.043335162</v>
      </c>
      <c r="K28" s="6">
        <f t="shared" si="5"/>
        <v>11001100.110011</v>
      </c>
      <c r="L28" s="6">
        <f t="shared" si="6"/>
        <v>223656159.76122093</v>
      </c>
      <c r="M28" s="6">
        <f t="shared" si="7"/>
        <v>11182807.988061046</v>
      </c>
      <c r="N28" s="6"/>
      <c r="O28" s="10">
        <f t="shared" si="8"/>
        <v>221.63989541539303</v>
      </c>
      <c r="P28" s="10">
        <f t="shared" si="9"/>
        <v>11.081994770769652</v>
      </c>
      <c r="Q28" s="10">
        <f t="shared" si="10"/>
        <v>223.65615976122092</v>
      </c>
      <c r="R28" s="10">
        <f t="shared" si="10"/>
        <v>11.182807988061047</v>
      </c>
      <c r="S28" s="6"/>
    </row>
    <row r="29" spans="1:19" x14ac:dyDescent="0.25">
      <c r="A29">
        <v>21</v>
      </c>
      <c r="B29" s="1">
        <f t="shared" si="11"/>
        <v>2100000000</v>
      </c>
      <c r="C29" s="1">
        <v>18380</v>
      </c>
      <c r="D29" s="1">
        <v>18060</v>
      </c>
      <c r="E29" s="1">
        <v>18480</v>
      </c>
      <c r="F29" s="6">
        <f t="shared" si="0"/>
        <v>228509249.18389553</v>
      </c>
      <c r="G29" s="6">
        <f t="shared" si="1"/>
        <v>232558139.53488374</v>
      </c>
      <c r="H29" s="6">
        <f t="shared" si="2"/>
        <v>227272727.27272725</v>
      </c>
      <c r="I29" s="6">
        <f t="shared" si="3"/>
        <v>10881392.81828074</v>
      </c>
      <c r="J29" s="6">
        <f t="shared" si="4"/>
        <v>11074197.120708749</v>
      </c>
      <c r="K29" s="6">
        <f t="shared" si="5"/>
        <v>10822510.822510822</v>
      </c>
      <c r="L29" s="6">
        <f t="shared" si="6"/>
        <v>234838967.74928197</v>
      </c>
      <c r="M29" s="6">
        <f t="shared" si="7"/>
        <v>11182807.988061046</v>
      </c>
      <c r="N29" s="6"/>
      <c r="O29" s="10">
        <f t="shared" si="8"/>
        <v>229.44670533050217</v>
      </c>
      <c r="P29" s="10">
        <f t="shared" si="9"/>
        <v>10.926033587166771</v>
      </c>
      <c r="Q29" s="10">
        <f t="shared" si="10"/>
        <v>234.83896774928198</v>
      </c>
      <c r="R29" s="10">
        <f t="shared" si="10"/>
        <v>11.182807988061047</v>
      </c>
      <c r="S29" s="6"/>
    </row>
    <row r="30" spans="1:19" x14ac:dyDescent="0.25">
      <c r="A30">
        <v>22</v>
      </c>
      <c r="B30" s="1">
        <f t="shared" si="11"/>
        <v>2200000000</v>
      </c>
      <c r="C30" s="1">
        <v>18050</v>
      </c>
      <c r="D30" s="1">
        <v>18180</v>
      </c>
      <c r="E30" s="1">
        <v>17810</v>
      </c>
      <c r="F30" s="6">
        <f t="shared" si="0"/>
        <v>243767313.01939055</v>
      </c>
      <c r="G30" s="6">
        <f t="shared" si="1"/>
        <v>242024202.42024201</v>
      </c>
      <c r="H30" s="6">
        <f t="shared" si="2"/>
        <v>247052217.85513756</v>
      </c>
      <c r="I30" s="6">
        <f t="shared" si="3"/>
        <v>11080332.409972297</v>
      </c>
      <c r="J30" s="6">
        <f t="shared" si="4"/>
        <v>11001100.110011</v>
      </c>
      <c r="K30" s="6">
        <f t="shared" si="5"/>
        <v>11229646.266142616</v>
      </c>
      <c r="L30" s="6">
        <f t="shared" si="6"/>
        <v>246021775.73734301</v>
      </c>
      <c r="M30" s="6">
        <f t="shared" si="7"/>
        <v>11182807.988061046</v>
      </c>
      <c r="N30" s="6"/>
      <c r="O30" s="10">
        <f t="shared" si="8"/>
        <v>244.28124443159004</v>
      </c>
      <c r="P30" s="10">
        <f t="shared" si="9"/>
        <v>11.103692928708638</v>
      </c>
      <c r="Q30" s="10">
        <f t="shared" si="10"/>
        <v>246.02177573734301</v>
      </c>
      <c r="R30" s="10">
        <f t="shared" si="10"/>
        <v>11.182807988061047</v>
      </c>
      <c r="S30" s="6"/>
    </row>
    <row r="31" spans="1:19" x14ac:dyDescent="0.25">
      <c r="A31">
        <v>23</v>
      </c>
      <c r="B31" s="1">
        <f t="shared" si="11"/>
        <v>2300000000</v>
      </c>
      <c r="C31" s="1">
        <v>17950</v>
      </c>
      <c r="D31" s="1">
        <v>18260</v>
      </c>
      <c r="E31" s="1">
        <v>18220</v>
      </c>
      <c r="F31" s="6">
        <f t="shared" si="0"/>
        <v>256267409.47075209</v>
      </c>
      <c r="G31" s="6">
        <f t="shared" si="1"/>
        <v>251916757.94085431</v>
      </c>
      <c r="H31" s="6">
        <f t="shared" si="2"/>
        <v>252469813.39187706</v>
      </c>
      <c r="I31" s="6">
        <f t="shared" si="3"/>
        <v>11142061.281337047</v>
      </c>
      <c r="J31" s="6">
        <f t="shared" si="4"/>
        <v>10952902.519167578</v>
      </c>
      <c r="K31" s="6">
        <f t="shared" si="5"/>
        <v>10976948.408342481</v>
      </c>
      <c r="L31" s="6">
        <f t="shared" si="6"/>
        <v>257204583.72540405</v>
      </c>
      <c r="M31" s="6">
        <f t="shared" si="7"/>
        <v>11182807.988061046</v>
      </c>
      <c r="N31" s="6"/>
      <c r="O31" s="10">
        <f t="shared" si="8"/>
        <v>253.55132693449448</v>
      </c>
      <c r="P31" s="10">
        <f t="shared" si="9"/>
        <v>11.023970736282369</v>
      </c>
      <c r="Q31" s="10">
        <f t="shared" si="10"/>
        <v>257.20458372540406</v>
      </c>
      <c r="R31" s="10">
        <f t="shared" si="10"/>
        <v>11.182807988061047</v>
      </c>
      <c r="S31" s="6"/>
    </row>
    <row r="32" spans="1:19" x14ac:dyDescent="0.25">
      <c r="A32">
        <v>24</v>
      </c>
      <c r="B32" s="1">
        <f t="shared" si="11"/>
        <v>2400000000</v>
      </c>
      <c r="C32" s="1">
        <v>18360</v>
      </c>
      <c r="D32" s="1">
        <v>18230</v>
      </c>
      <c r="E32" s="1">
        <v>18020</v>
      </c>
      <c r="F32" s="6">
        <f t="shared" si="0"/>
        <v>261437908.49673203</v>
      </c>
      <c r="G32" s="6">
        <f t="shared" si="1"/>
        <v>263302249.04004386</v>
      </c>
      <c r="H32" s="6">
        <f t="shared" si="2"/>
        <v>266370699.22308549</v>
      </c>
      <c r="I32" s="6">
        <f t="shared" si="3"/>
        <v>10893246.187363835</v>
      </c>
      <c r="J32" s="6">
        <f t="shared" si="4"/>
        <v>10970927.04333516</v>
      </c>
      <c r="K32" s="6">
        <f t="shared" si="5"/>
        <v>11098779.134295229</v>
      </c>
      <c r="L32" s="6">
        <f t="shared" si="6"/>
        <v>268387391.71346509</v>
      </c>
      <c r="M32" s="6">
        <f t="shared" si="7"/>
        <v>11182807.988061046</v>
      </c>
      <c r="N32" s="6"/>
      <c r="O32" s="10">
        <f t="shared" si="8"/>
        <v>263.70361891995378</v>
      </c>
      <c r="P32" s="10">
        <f t="shared" si="9"/>
        <v>10.987650788331408</v>
      </c>
      <c r="Q32" s="10">
        <f t="shared" si="10"/>
        <v>268.38739171346509</v>
      </c>
      <c r="R32" s="10">
        <f t="shared" si="10"/>
        <v>11.182807988061047</v>
      </c>
      <c r="S32" s="6"/>
    </row>
    <row r="33" spans="1:19" x14ac:dyDescent="0.25">
      <c r="A33">
        <v>25</v>
      </c>
      <c r="B33" s="1">
        <f t="shared" si="11"/>
        <v>2500000000</v>
      </c>
      <c r="C33" s="1">
        <v>18130</v>
      </c>
      <c r="D33" s="1">
        <v>18000</v>
      </c>
      <c r="E33" s="1">
        <v>18200</v>
      </c>
      <c r="F33" s="6">
        <f t="shared" si="0"/>
        <v>275785990.07170439</v>
      </c>
      <c r="G33" s="6">
        <f t="shared" si="1"/>
        <v>277777777.77777773</v>
      </c>
      <c r="H33" s="6">
        <f t="shared" si="2"/>
        <v>274725274.72527468</v>
      </c>
      <c r="I33" s="6">
        <f t="shared" si="3"/>
        <v>11031439.602868175</v>
      </c>
      <c r="J33" s="6">
        <f t="shared" si="4"/>
        <v>11111111.11111111</v>
      </c>
      <c r="K33" s="6">
        <f t="shared" si="5"/>
        <v>10989010.989010988</v>
      </c>
      <c r="L33" s="6">
        <f t="shared" si="6"/>
        <v>279570199.70152617</v>
      </c>
      <c r="M33" s="6">
        <f t="shared" si="7"/>
        <v>11182807.988061046</v>
      </c>
      <c r="N33" s="6"/>
      <c r="O33" s="10">
        <f t="shared" si="8"/>
        <v>276.09634752491894</v>
      </c>
      <c r="P33" s="10">
        <f t="shared" si="9"/>
        <v>11.043853900996758</v>
      </c>
      <c r="Q33" s="10">
        <f t="shared" si="10"/>
        <v>279.57019970152618</v>
      </c>
      <c r="R33" s="10">
        <f t="shared" si="10"/>
        <v>11.182807988061047</v>
      </c>
      <c r="S33" s="6"/>
    </row>
    <row r="34" spans="1:19" x14ac:dyDescent="0.25">
      <c r="A34">
        <v>26</v>
      </c>
      <c r="B34" s="1">
        <f t="shared" si="11"/>
        <v>2600000000</v>
      </c>
      <c r="C34" s="1">
        <v>17980</v>
      </c>
      <c r="D34" s="1">
        <v>18060</v>
      </c>
      <c r="E34" s="1">
        <v>18140</v>
      </c>
      <c r="F34" s="6">
        <f t="shared" si="0"/>
        <v>289210233.59288102</v>
      </c>
      <c r="G34" s="6">
        <f t="shared" si="1"/>
        <v>287929125.1384275</v>
      </c>
      <c r="H34" s="6">
        <f t="shared" si="2"/>
        <v>286659316.42778391</v>
      </c>
      <c r="I34" s="6">
        <f t="shared" si="3"/>
        <v>11123470.522803117</v>
      </c>
      <c r="J34" s="6">
        <f t="shared" si="4"/>
        <v>11074197.120708751</v>
      </c>
      <c r="K34" s="6">
        <f t="shared" si="5"/>
        <v>11025358.324145535</v>
      </c>
      <c r="L34" s="6">
        <f t="shared" si="6"/>
        <v>290753007.68958718</v>
      </c>
      <c r="M34" s="6">
        <f t="shared" si="7"/>
        <v>11182807.988061044</v>
      </c>
      <c r="N34" s="6"/>
      <c r="O34" s="10">
        <f t="shared" si="8"/>
        <v>287.93289171969747</v>
      </c>
      <c r="P34" s="10">
        <f t="shared" si="9"/>
        <v>11.074341989219135</v>
      </c>
      <c r="Q34" s="10">
        <f t="shared" si="10"/>
        <v>290.75300768958715</v>
      </c>
      <c r="R34" s="10">
        <f t="shared" si="10"/>
        <v>11.182807988061045</v>
      </c>
      <c r="S34" s="6"/>
    </row>
    <row r="35" spans="1:19" x14ac:dyDescent="0.25">
      <c r="A35">
        <v>27</v>
      </c>
      <c r="B35" s="1">
        <f t="shared" si="11"/>
        <v>2700000000</v>
      </c>
      <c r="C35" s="1">
        <v>18020</v>
      </c>
      <c r="D35" s="1">
        <v>18280</v>
      </c>
      <c r="E35" s="1">
        <v>17900</v>
      </c>
      <c r="F35" s="6">
        <f t="shared" si="0"/>
        <v>299667036.62597114</v>
      </c>
      <c r="G35" s="6">
        <f t="shared" si="1"/>
        <v>295404814.00437635</v>
      </c>
      <c r="H35" s="6">
        <f t="shared" si="2"/>
        <v>301675977.65363133</v>
      </c>
      <c r="I35" s="6">
        <f t="shared" si="3"/>
        <v>11098779.134295227</v>
      </c>
      <c r="J35" s="6">
        <f t="shared" si="4"/>
        <v>10940919.037199125</v>
      </c>
      <c r="K35" s="6">
        <f t="shared" si="5"/>
        <v>11173184.357541902</v>
      </c>
      <c r="L35" s="6">
        <f t="shared" si="6"/>
        <v>301935815.67764825</v>
      </c>
      <c r="M35" s="6">
        <f t="shared" si="7"/>
        <v>11182807.988061046</v>
      </c>
      <c r="N35" s="6"/>
      <c r="O35" s="10">
        <f t="shared" si="8"/>
        <v>298.91594276132628</v>
      </c>
      <c r="P35" s="10">
        <f t="shared" si="9"/>
        <v>11.070960843012084</v>
      </c>
      <c r="Q35" s="10">
        <f t="shared" si="10"/>
        <v>301.93581567764824</v>
      </c>
      <c r="R35" s="10">
        <f t="shared" si="10"/>
        <v>11.182807988061047</v>
      </c>
      <c r="S35" s="6"/>
    </row>
    <row r="36" spans="1:19" x14ac:dyDescent="0.25">
      <c r="A36">
        <v>28</v>
      </c>
      <c r="B36" s="1">
        <f t="shared" si="11"/>
        <v>2800000000</v>
      </c>
      <c r="C36" s="1">
        <v>18020</v>
      </c>
      <c r="D36" s="1">
        <v>18390</v>
      </c>
      <c r="E36" s="1">
        <v>18300</v>
      </c>
      <c r="F36" s="6">
        <f t="shared" si="0"/>
        <v>310765815.76026636</v>
      </c>
      <c r="G36" s="6">
        <f t="shared" si="1"/>
        <v>304513322.45785755</v>
      </c>
      <c r="H36" s="6">
        <f t="shared" si="2"/>
        <v>306010928.9617486</v>
      </c>
      <c r="I36" s="6">
        <f t="shared" si="3"/>
        <v>11098779.134295227</v>
      </c>
      <c r="J36" s="6">
        <f t="shared" si="4"/>
        <v>10875475.802066341</v>
      </c>
      <c r="K36" s="6">
        <f t="shared" si="5"/>
        <v>10928961.748633878</v>
      </c>
      <c r="L36" s="6">
        <f t="shared" si="6"/>
        <v>313118623.66570932</v>
      </c>
      <c r="M36" s="6">
        <f t="shared" si="7"/>
        <v>11182807.988061046</v>
      </c>
      <c r="N36" s="6"/>
      <c r="O36" s="10">
        <f t="shared" si="8"/>
        <v>307.0966890599575</v>
      </c>
      <c r="P36" s="10">
        <f t="shared" si="9"/>
        <v>10.967738894998481</v>
      </c>
      <c r="Q36" s="10">
        <f t="shared" si="10"/>
        <v>313.11862366570932</v>
      </c>
      <c r="R36" s="10">
        <f t="shared" si="10"/>
        <v>11.182807988061047</v>
      </c>
      <c r="S36" s="6"/>
    </row>
    <row r="37" spans="1:19" x14ac:dyDescent="0.25">
      <c r="A37">
        <v>29</v>
      </c>
      <c r="B37" s="1">
        <f t="shared" si="11"/>
        <v>2900000000</v>
      </c>
      <c r="C37" s="1">
        <v>17600</v>
      </c>
      <c r="D37" s="1">
        <v>18090</v>
      </c>
      <c r="E37" s="1">
        <v>18180</v>
      </c>
      <c r="F37" s="6">
        <f t="shared" si="0"/>
        <v>329545454.5454545</v>
      </c>
      <c r="G37" s="6">
        <f t="shared" si="1"/>
        <v>320619126.58927584</v>
      </c>
      <c r="H37" s="6">
        <f t="shared" si="2"/>
        <v>319031903.190319</v>
      </c>
      <c r="I37" s="6">
        <f t="shared" si="3"/>
        <v>11363636.363636361</v>
      </c>
      <c r="J37" s="6">
        <f t="shared" si="4"/>
        <v>11055831.95135434</v>
      </c>
      <c r="K37" s="6">
        <f t="shared" si="5"/>
        <v>11001100.110011</v>
      </c>
      <c r="L37" s="6">
        <f t="shared" si="6"/>
        <v>324301431.65377033</v>
      </c>
      <c r="M37" s="6">
        <f t="shared" si="7"/>
        <v>11182807.988061046</v>
      </c>
      <c r="N37" s="6"/>
      <c r="O37" s="10">
        <f t="shared" si="8"/>
        <v>323.06549477501648</v>
      </c>
      <c r="P37" s="10">
        <f t="shared" si="9"/>
        <v>11.140189475000566</v>
      </c>
      <c r="Q37" s="10">
        <f t="shared" si="10"/>
        <v>324.30143165377035</v>
      </c>
      <c r="R37" s="10">
        <f t="shared" si="10"/>
        <v>11.182807988061047</v>
      </c>
      <c r="S37" s="6"/>
    </row>
    <row r="38" spans="1:19" x14ac:dyDescent="0.25">
      <c r="A38">
        <v>30</v>
      </c>
      <c r="B38" s="1">
        <f t="shared" si="11"/>
        <v>3000000000</v>
      </c>
      <c r="C38" s="1">
        <v>18430</v>
      </c>
      <c r="D38" s="1">
        <v>17980</v>
      </c>
      <c r="E38" s="1">
        <v>18210</v>
      </c>
      <c r="F38" s="6">
        <f t="shared" si="0"/>
        <v>325556158.43733042</v>
      </c>
      <c r="G38" s="6">
        <f t="shared" si="1"/>
        <v>333704115.68409342</v>
      </c>
      <c r="H38" s="6">
        <f t="shared" si="2"/>
        <v>329489291.59802312</v>
      </c>
      <c r="I38" s="6">
        <f t="shared" si="3"/>
        <v>10851871.947911015</v>
      </c>
      <c r="J38" s="6">
        <f t="shared" si="4"/>
        <v>11123470.522803115</v>
      </c>
      <c r="K38" s="6">
        <f t="shared" si="5"/>
        <v>10982976.38660077</v>
      </c>
      <c r="L38" s="6">
        <f t="shared" si="6"/>
        <v>335484239.6418314</v>
      </c>
      <c r="M38" s="6">
        <f t="shared" si="7"/>
        <v>11182807.988061046</v>
      </c>
      <c r="N38" s="6"/>
      <c r="O38" s="10">
        <f t="shared" si="8"/>
        <v>329.58318857314896</v>
      </c>
      <c r="P38" s="10">
        <f t="shared" si="9"/>
        <v>10.986106285771633</v>
      </c>
      <c r="Q38" s="10">
        <f t="shared" si="10"/>
        <v>335.48423964183138</v>
      </c>
      <c r="R38" s="10">
        <f t="shared" si="10"/>
        <v>11.182807988061047</v>
      </c>
      <c r="S38" s="6"/>
    </row>
    <row r="39" spans="1:19" x14ac:dyDescent="0.25">
      <c r="A39">
        <v>31</v>
      </c>
      <c r="B39" s="1">
        <f t="shared" si="11"/>
        <v>3100000000</v>
      </c>
      <c r="C39" s="1">
        <v>17970</v>
      </c>
      <c r="D39" s="1">
        <v>18070</v>
      </c>
      <c r="E39" s="1">
        <v>18130</v>
      </c>
      <c r="F39" s="6">
        <f t="shared" si="0"/>
        <v>345019476.90595436</v>
      </c>
      <c r="G39" s="6">
        <f t="shared" si="1"/>
        <v>343110127.28278917</v>
      </c>
      <c r="H39" s="6">
        <f t="shared" si="2"/>
        <v>341974627.6889134</v>
      </c>
      <c r="I39" s="6">
        <f t="shared" si="3"/>
        <v>11129660.545353366</v>
      </c>
      <c r="J39" s="6">
        <f t="shared" si="4"/>
        <v>11068068.622025456</v>
      </c>
      <c r="K39" s="6">
        <f t="shared" si="5"/>
        <v>11031439.602868175</v>
      </c>
      <c r="L39" s="6">
        <f t="shared" si="6"/>
        <v>346667047.62989241</v>
      </c>
      <c r="M39" s="6">
        <f t="shared" si="7"/>
        <v>11182807.988061046</v>
      </c>
      <c r="N39" s="6"/>
      <c r="O39" s="10">
        <f t="shared" si="8"/>
        <v>343.3680772925523</v>
      </c>
      <c r="P39" s="10">
        <f t="shared" si="9"/>
        <v>11.076389590082332</v>
      </c>
      <c r="Q39" s="10">
        <f t="shared" si="10"/>
        <v>346.66704762989241</v>
      </c>
      <c r="R39" s="10">
        <f t="shared" si="10"/>
        <v>11.182807988061047</v>
      </c>
      <c r="S39" s="6"/>
    </row>
    <row r="40" spans="1:19" x14ac:dyDescent="0.25">
      <c r="A40">
        <v>32</v>
      </c>
      <c r="B40" s="1">
        <f t="shared" si="11"/>
        <v>3200000000</v>
      </c>
      <c r="C40" s="1">
        <v>18130</v>
      </c>
      <c r="D40" s="1">
        <v>18160</v>
      </c>
      <c r="E40" s="1">
        <v>18310</v>
      </c>
      <c r="F40" s="6">
        <f t="shared" si="0"/>
        <v>353006067.2917816</v>
      </c>
      <c r="G40" s="6">
        <f t="shared" si="1"/>
        <v>352422907.48898679</v>
      </c>
      <c r="H40" s="6">
        <f t="shared" si="2"/>
        <v>349535772.80174768</v>
      </c>
      <c r="I40" s="6">
        <f t="shared" si="3"/>
        <v>11031439.602868175</v>
      </c>
      <c r="J40" s="6">
        <f t="shared" si="4"/>
        <v>11013215.859030837</v>
      </c>
      <c r="K40" s="6">
        <f t="shared" si="5"/>
        <v>10922992.900054615</v>
      </c>
      <c r="L40" s="6">
        <f t="shared" si="6"/>
        <v>357849855.61795348</v>
      </c>
      <c r="M40" s="6">
        <f t="shared" si="7"/>
        <v>11182807.988061046</v>
      </c>
      <c r="N40" s="6"/>
      <c r="O40" s="10">
        <f t="shared" si="8"/>
        <v>351.65491586083868</v>
      </c>
      <c r="P40" s="10">
        <f t="shared" si="9"/>
        <v>10.989216120651209</v>
      </c>
      <c r="Q40" s="10">
        <f t="shared" si="10"/>
        <v>357.84985561795349</v>
      </c>
      <c r="R40" s="10">
        <f t="shared" si="10"/>
        <v>11.182807988061047</v>
      </c>
      <c r="S40" s="6"/>
    </row>
    <row r="41" spans="1:19" x14ac:dyDescent="0.25">
      <c r="A41">
        <v>33</v>
      </c>
      <c r="B41" s="1">
        <f t="shared" si="11"/>
        <v>3300000000</v>
      </c>
      <c r="C41" s="1">
        <v>18540</v>
      </c>
      <c r="D41" s="1">
        <v>18830</v>
      </c>
      <c r="E41" s="1">
        <v>18610</v>
      </c>
      <c r="F41" s="6">
        <f t="shared" si="0"/>
        <v>355987055.01618123</v>
      </c>
      <c r="G41" s="6">
        <f t="shared" si="1"/>
        <v>350504514.07328731</v>
      </c>
      <c r="H41" s="6">
        <f t="shared" si="2"/>
        <v>354648038.68887699</v>
      </c>
      <c r="I41" s="6">
        <f t="shared" si="3"/>
        <v>10787486.515641855</v>
      </c>
      <c r="J41" s="6">
        <f t="shared" si="4"/>
        <v>10621348.911311736</v>
      </c>
      <c r="K41" s="6">
        <f t="shared" si="5"/>
        <v>10746910.263299303</v>
      </c>
      <c r="L41" s="6">
        <f>$L$40+$L$9*(A41-32)*40%</f>
        <v>362322978.81317788</v>
      </c>
      <c r="M41" s="6">
        <f t="shared" si="7"/>
        <v>10979484.206459936</v>
      </c>
      <c r="N41" s="6"/>
      <c r="O41" s="10">
        <f t="shared" si="8"/>
        <v>353.71320259278184</v>
      </c>
      <c r="P41" s="10">
        <f t="shared" si="9"/>
        <v>10.718581896750964</v>
      </c>
      <c r="Q41" s="10">
        <f t="shared" si="10"/>
        <v>362.32297881317788</v>
      </c>
      <c r="R41" s="10">
        <f t="shared" si="10"/>
        <v>10.979484206459937</v>
      </c>
      <c r="S41" s="6"/>
    </row>
    <row r="42" spans="1:19" x14ac:dyDescent="0.25">
      <c r="A42">
        <v>34</v>
      </c>
      <c r="B42" s="1">
        <f t="shared" si="11"/>
        <v>3400000000</v>
      </c>
      <c r="C42" s="1">
        <v>19160</v>
      </c>
      <c r="D42" s="1">
        <v>19170</v>
      </c>
      <c r="E42" s="1">
        <v>18950</v>
      </c>
      <c r="F42" s="6">
        <f t="shared" si="0"/>
        <v>354906054.27974945</v>
      </c>
      <c r="G42" s="6">
        <f t="shared" si="1"/>
        <v>354720918.10119981</v>
      </c>
      <c r="H42" s="6">
        <f t="shared" si="2"/>
        <v>358839050.13192612</v>
      </c>
      <c r="I42" s="6">
        <f t="shared" si="3"/>
        <v>10438413.361169102</v>
      </c>
      <c r="J42" s="6">
        <f t="shared" si="4"/>
        <v>10432968.179447053</v>
      </c>
      <c r="K42" s="6">
        <f t="shared" si="5"/>
        <v>10554089.709762532</v>
      </c>
      <c r="L42" s="6">
        <f t="shared" ref="L42:L72" si="12">$L$40+$L$9*(A42-32)*40%</f>
        <v>366796102.00840229</v>
      </c>
      <c r="M42" s="6">
        <f t="shared" si="7"/>
        <v>10788120.647305951</v>
      </c>
      <c r="N42" s="6"/>
      <c r="O42" s="10">
        <f t="shared" si="8"/>
        <v>356.15534083762509</v>
      </c>
      <c r="P42" s="10">
        <f t="shared" si="9"/>
        <v>10.475157083459562</v>
      </c>
      <c r="Q42" s="10">
        <f t="shared" si="10"/>
        <v>366.79610200840227</v>
      </c>
      <c r="R42" s="10">
        <f t="shared" si="10"/>
        <v>10.78812064730595</v>
      </c>
      <c r="S42" s="6"/>
    </row>
    <row r="43" spans="1:19" x14ac:dyDescent="0.25">
      <c r="A43">
        <v>35</v>
      </c>
      <c r="B43" s="1">
        <f t="shared" si="11"/>
        <v>3500000000</v>
      </c>
      <c r="C43" s="1">
        <v>19140</v>
      </c>
      <c r="D43" s="1">
        <v>19260</v>
      </c>
      <c r="E43" s="1">
        <v>19340</v>
      </c>
      <c r="F43" s="6">
        <f t="shared" si="0"/>
        <v>365726227.79519331</v>
      </c>
      <c r="G43" s="6">
        <f t="shared" si="1"/>
        <v>363447559.70924199</v>
      </c>
      <c r="H43" s="6">
        <f t="shared" si="2"/>
        <v>361944157.18717682</v>
      </c>
      <c r="I43" s="6">
        <f t="shared" si="3"/>
        <v>10449320.79414838</v>
      </c>
      <c r="J43" s="6">
        <f t="shared" si="4"/>
        <v>10384215.991692629</v>
      </c>
      <c r="K43" s="6">
        <f t="shared" si="5"/>
        <v>10341261.633919338</v>
      </c>
      <c r="L43" s="6">
        <f t="shared" si="12"/>
        <v>371269225.20362675</v>
      </c>
      <c r="M43" s="6">
        <f t="shared" si="7"/>
        <v>10607692.148675051</v>
      </c>
      <c r="N43" s="6"/>
      <c r="O43" s="10">
        <f t="shared" si="8"/>
        <v>363.70598156387075</v>
      </c>
      <c r="P43" s="10">
        <f t="shared" si="9"/>
        <v>10.39159947325345</v>
      </c>
      <c r="Q43" s="10">
        <f t="shared" si="10"/>
        <v>371.26922520362677</v>
      </c>
      <c r="R43" s="10">
        <f t="shared" si="10"/>
        <v>10.607692148675051</v>
      </c>
      <c r="S43" s="6"/>
    </row>
    <row r="44" spans="1:19" x14ac:dyDescent="0.25">
      <c r="A44">
        <v>36</v>
      </c>
      <c r="B44" s="1">
        <f t="shared" si="11"/>
        <v>3600000000</v>
      </c>
      <c r="C44" s="1">
        <v>19680</v>
      </c>
      <c r="D44" s="1">
        <v>19650</v>
      </c>
      <c r="E44" s="1">
        <v>19680</v>
      </c>
      <c r="F44" s="6">
        <f t="shared" si="0"/>
        <v>365853658.53658533</v>
      </c>
      <c r="G44" s="6">
        <f t="shared" si="1"/>
        <v>366412213.74045801</v>
      </c>
      <c r="H44" s="6">
        <f t="shared" si="2"/>
        <v>365853658.53658533</v>
      </c>
      <c r="I44" s="6">
        <f t="shared" si="3"/>
        <v>10162601.626016259</v>
      </c>
      <c r="J44" s="6">
        <f t="shared" si="4"/>
        <v>10178117.048346056</v>
      </c>
      <c r="K44" s="6">
        <f t="shared" si="5"/>
        <v>10162601.626016259</v>
      </c>
      <c r="L44" s="6">
        <f t="shared" si="12"/>
        <v>375742348.39885116</v>
      </c>
      <c r="M44" s="6">
        <f t="shared" si="7"/>
        <v>10437287.455523644</v>
      </c>
      <c r="N44" s="6"/>
      <c r="O44" s="10">
        <f t="shared" si="8"/>
        <v>366.03984360454291</v>
      </c>
      <c r="P44" s="10">
        <f t="shared" si="9"/>
        <v>10.167773433459526</v>
      </c>
      <c r="Q44" s="10">
        <f t="shared" si="10"/>
        <v>375.74234839885116</v>
      </c>
      <c r="R44" s="10">
        <f t="shared" si="10"/>
        <v>10.437287455523643</v>
      </c>
      <c r="S44" s="6"/>
    </row>
    <row r="45" spans="1:19" x14ac:dyDescent="0.25">
      <c r="A45">
        <v>37</v>
      </c>
      <c r="B45" s="1">
        <f t="shared" si="11"/>
        <v>3700000000</v>
      </c>
      <c r="C45" s="1">
        <v>19980</v>
      </c>
      <c r="D45" s="1">
        <v>19960</v>
      </c>
      <c r="E45" s="1">
        <v>19800</v>
      </c>
      <c r="F45" s="6">
        <f t="shared" si="0"/>
        <v>370370370.37037039</v>
      </c>
      <c r="G45" s="6">
        <f t="shared" si="1"/>
        <v>370741482.96593189</v>
      </c>
      <c r="H45" s="6">
        <f t="shared" si="2"/>
        <v>373737373.73737371</v>
      </c>
      <c r="I45" s="6">
        <f t="shared" si="3"/>
        <v>10010010.01001001</v>
      </c>
      <c r="J45" s="6">
        <f t="shared" si="4"/>
        <v>10020040.080160322</v>
      </c>
      <c r="K45" s="6">
        <f t="shared" si="5"/>
        <v>10101010.101010101</v>
      </c>
      <c r="L45" s="6">
        <f t="shared" si="12"/>
        <v>380215471.59407556</v>
      </c>
      <c r="M45" s="6">
        <f t="shared" si="7"/>
        <v>10276093.826866906</v>
      </c>
      <c r="N45" s="6"/>
      <c r="O45" s="10">
        <f t="shared" si="8"/>
        <v>371.61640902455872</v>
      </c>
      <c r="P45" s="10">
        <f t="shared" si="9"/>
        <v>10.043686730393476</v>
      </c>
      <c r="Q45" s="10">
        <f t="shared" si="10"/>
        <v>380.21547159407555</v>
      </c>
      <c r="R45" s="10">
        <f t="shared" si="10"/>
        <v>10.276093826866907</v>
      </c>
      <c r="S45" s="6"/>
    </row>
    <row r="46" spans="1:19" x14ac:dyDescent="0.25">
      <c r="A46">
        <v>38</v>
      </c>
      <c r="B46" s="1">
        <f t="shared" si="11"/>
        <v>3800000000</v>
      </c>
      <c r="C46" s="1">
        <v>20170</v>
      </c>
      <c r="D46" s="1">
        <v>20560</v>
      </c>
      <c r="E46" s="1">
        <v>20370</v>
      </c>
      <c r="F46" s="6">
        <f t="shared" si="0"/>
        <v>376797223.59940505</v>
      </c>
      <c r="G46" s="6">
        <f t="shared" si="1"/>
        <v>369649805.44747078</v>
      </c>
      <c r="H46" s="6">
        <f t="shared" si="2"/>
        <v>373097692.68532157</v>
      </c>
      <c r="I46" s="6">
        <f t="shared" si="3"/>
        <v>9915716.4105106592</v>
      </c>
      <c r="J46" s="6">
        <f t="shared" si="4"/>
        <v>9727626.4591439683</v>
      </c>
      <c r="K46" s="6">
        <f t="shared" si="5"/>
        <v>9818360.3338242527</v>
      </c>
      <c r="L46" s="6">
        <f t="shared" si="12"/>
        <v>384688594.78929996</v>
      </c>
      <c r="M46" s="6">
        <f t="shared" si="7"/>
        <v>10123384.07340263</v>
      </c>
      <c r="N46" s="6"/>
      <c r="O46" s="10">
        <f t="shared" si="8"/>
        <v>373.18157391073242</v>
      </c>
      <c r="P46" s="10">
        <f t="shared" si="9"/>
        <v>9.8205677344929594</v>
      </c>
      <c r="Q46" s="10">
        <f t="shared" si="10"/>
        <v>384.68859478929994</v>
      </c>
      <c r="R46" s="10">
        <f t="shared" si="10"/>
        <v>10.123384073402629</v>
      </c>
      <c r="S46" s="6"/>
    </row>
    <row r="47" spans="1:19" x14ac:dyDescent="0.25">
      <c r="A47">
        <v>39</v>
      </c>
      <c r="B47" s="1">
        <f t="shared" si="11"/>
        <v>3900000000</v>
      </c>
      <c r="C47" s="1">
        <v>20520</v>
      </c>
      <c r="D47" s="1">
        <v>20540</v>
      </c>
      <c r="E47" s="1">
        <v>20610</v>
      </c>
      <c r="F47" s="6">
        <f t="shared" si="0"/>
        <v>380116959.06432748</v>
      </c>
      <c r="G47" s="6">
        <f t="shared" si="1"/>
        <v>379746835.44303799</v>
      </c>
      <c r="H47" s="6">
        <f t="shared" si="2"/>
        <v>378457059.67976713</v>
      </c>
      <c r="I47" s="6">
        <f t="shared" si="3"/>
        <v>9746588.6939571146</v>
      </c>
      <c r="J47" s="6">
        <f t="shared" si="4"/>
        <v>9737098.3446932826</v>
      </c>
      <c r="K47" s="6">
        <f t="shared" si="5"/>
        <v>9704027.1712760795</v>
      </c>
      <c r="L47" s="6">
        <f t="shared" si="12"/>
        <v>389161717.98452443</v>
      </c>
      <c r="M47" s="6">
        <f t="shared" si="7"/>
        <v>9978505.5893467795</v>
      </c>
      <c r="N47" s="6"/>
      <c r="O47" s="10">
        <f t="shared" si="8"/>
        <v>379.44028472904421</v>
      </c>
      <c r="P47" s="10">
        <f t="shared" si="9"/>
        <v>9.7292380699754943</v>
      </c>
      <c r="Q47" s="10">
        <f t="shared" si="10"/>
        <v>389.16171798452444</v>
      </c>
      <c r="R47" s="10">
        <f t="shared" si="10"/>
        <v>9.9785055893467796</v>
      </c>
      <c r="S47" s="6"/>
    </row>
    <row r="48" spans="1:19" x14ac:dyDescent="0.25">
      <c r="A48">
        <v>40</v>
      </c>
      <c r="B48" s="1">
        <f t="shared" si="11"/>
        <v>4000000000</v>
      </c>
      <c r="C48" s="1">
        <v>21140</v>
      </c>
      <c r="D48" s="1">
        <v>21030</v>
      </c>
      <c r="E48" s="1">
        <v>20800</v>
      </c>
      <c r="F48" s="6">
        <f t="shared" si="0"/>
        <v>378429517.50236517</v>
      </c>
      <c r="G48" s="6">
        <f t="shared" si="1"/>
        <v>380408939.61008084</v>
      </c>
      <c r="H48" s="6">
        <f t="shared" si="2"/>
        <v>384615384.61538464</v>
      </c>
      <c r="I48" s="6">
        <f t="shared" si="3"/>
        <v>9460737.9375591297</v>
      </c>
      <c r="J48" s="6">
        <f t="shared" si="4"/>
        <v>9510223.4902520217</v>
      </c>
      <c r="K48" s="6">
        <f t="shared" si="5"/>
        <v>9615384.615384616</v>
      </c>
      <c r="L48" s="6">
        <f t="shared" si="12"/>
        <v>393634841.17974883</v>
      </c>
      <c r="M48" s="6">
        <f t="shared" si="7"/>
        <v>9840871.0294937212</v>
      </c>
      <c r="N48" s="6"/>
      <c r="O48" s="10">
        <f t="shared" si="8"/>
        <v>381.15128057594353</v>
      </c>
      <c r="P48" s="10">
        <f t="shared" si="9"/>
        <v>9.5287820143985904</v>
      </c>
      <c r="Q48" s="10">
        <f t="shared" si="10"/>
        <v>393.63484117974883</v>
      </c>
      <c r="R48" s="10">
        <f t="shared" si="10"/>
        <v>9.8408710294937212</v>
      </c>
      <c r="S48" s="6"/>
    </row>
    <row r="49" spans="1:21" x14ac:dyDescent="0.25">
      <c r="A49">
        <v>41</v>
      </c>
      <c r="B49" s="1">
        <f t="shared" si="11"/>
        <v>4100000000</v>
      </c>
      <c r="C49" s="1">
        <v>21460</v>
      </c>
      <c r="D49" s="1">
        <v>21200</v>
      </c>
      <c r="E49" s="1">
        <v>21080</v>
      </c>
      <c r="F49" s="6">
        <f t="shared" si="0"/>
        <v>382106244.17520964</v>
      </c>
      <c r="G49" s="6">
        <f t="shared" si="1"/>
        <v>386792452.83018869</v>
      </c>
      <c r="H49" s="6">
        <f t="shared" si="2"/>
        <v>388994307.40037948</v>
      </c>
      <c r="I49" s="6">
        <f t="shared" si="3"/>
        <v>9319664.4920782838</v>
      </c>
      <c r="J49" s="6">
        <f t="shared" si="4"/>
        <v>9433962.2641509436</v>
      </c>
      <c r="K49" s="6">
        <f t="shared" si="5"/>
        <v>9487666.0341555979</v>
      </c>
      <c r="L49" s="6">
        <f t="shared" si="12"/>
        <v>398107964.37497324</v>
      </c>
      <c r="M49" s="6">
        <f t="shared" si="7"/>
        <v>9709950.3506091032</v>
      </c>
      <c r="N49" s="6"/>
      <c r="O49" s="10">
        <f t="shared" si="8"/>
        <v>385.96433480192587</v>
      </c>
      <c r="P49" s="10">
        <f t="shared" si="9"/>
        <v>9.4137642634616103</v>
      </c>
      <c r="Q49" s="10">
        <f t="shared" si="10"/>
        <v>398.10796437497322</v>
      </c>
      <c r="R49" s="10">
        <f t="shared" si="10"/>
        <v>9.7099503506091036</v>
      </c>
      <c r="S49" s="6"/>
    </row>
    <row r="50" spans="1:21" x14ac:dyDescent="0.25">
      <c r="A50">
        <v>42</v>
      </c>
      <c r="B50" s="1">
        <f t="shared" si="11"/>
        <v>4200000000</v>
      </c>
      <c r="C50" s="1">
        <v>21730</v>
      </c>
      <c r="D50" s="1">
        <v>21310</v>
      </c>
      <c r="E50" s="1">
        <v>21270</v>
      </c>
      <c r="F50" s="6">
        <f t="shared" si="0"/>
        <v>386562356.18959963</v>
      </c>
      <c r="G50" s="6">
        <f t="shared" si="1"/>
        <v>394181135.61708117</v>
      </c>
      <c r="H50" s="6">
        <f t="shared" si="2"/>
        <v>394922425.95204514</v>
      </c>
      <c r="I50" s="6">
        <f t="shared" si="3"/>
        <v>9203865.6235618964</v>
      </c>
      <c r="J50" s="6">
        <f t="shared" si="4"/>
        <v>9385265.1337400284</v>
      </c>
      <c r="K50" s="6">
        <f t="shared" si="5"/>
        <v>9402914.903620122</v>
      </c>
      <c r="L50" s="6">
        <f t="shared" si="12"/>
        <v>402581087.5701977</v>
      </c>
      <c r="M50" s="6">
        <f t="shared" si="7"/>
        <v>9585263.9897666126</v>
      </c>
      <c r="N50" s="6"/>
      <c r="O50" s="10">
        <f t="shared" si="8"/>
        <v>391.88863925290866</v>
      </c>
      <c r="P50" s="10">
        <f t="shared" si="9"/>
        <v>9.3306818869740162</v>
      </c>
      <c r="Q50" s="10">
        <f t="shared" si="10"/>
        <v>402.58108757019772</v>
      </c>
      <c r="R50" s="10">
        <f t="shared" si="10"/>
        <v>9.585263989766613</v>
      </c>
      <c r="S50" s="6"/>
    </row>
    <row r="51" spans="1:21" x14ac:dyDescent="0.25">
      <c r="A51">
        <v>43</v>
      </c>
      <c r="B51" s="1">
        <f t="shared" si="11"/>
        <v>4300000000</v>
      </c>
      <c r="C51" s="1">
        <v>21800</v>
      </c>
      <c r="D51" s="1">
        <v>21620</v>
      </c>
      <c r="E51" s="1">
        <v>21660</v>
      </c>
      <c r="F51" s="6">
        <f t="shared" si="0"/>
        <v>394495412.8440367</v>
      </c>
      <c r="G51" s="6">
        <f t="shared" si="1"/>
        <v>397779833.48751158</v>
      </c>
      <c r="H51" s="6">
        <f t="shared" si="2"/>
        <v>397045244.69067407</v>
      </c>
      <c r="I51" s="6">
        <f t="shared" si="3"/>
        <v>9174311.926605504</v>
      </c>
      <c r="J51" s="6">
        <f t="shared" si="4"/>
        <v>9250693.8020351529</v>
      </c>
      <c r="K51" s="6">
        <f t="shared" si="5"/>
        <v>9233610.341643583</v>
      </c>
      <c r="L51" s="6">
        <f t="shared" si="12"/>
        <v>407054210.76542211</v>
      </c>
      <c r="M51" s="6">
        <f t="shared" si="7"/>
        <v>9466376.9945446998</v>
      </c>
      <c r="N51" s="6"/>
      <c r="O51" s="10">
        <f t="shared" si="8"/>
        <v>396.44016367407409</v>
      </c>
      <c r="P51" s="10">
        <f t="shared" si="9"/>
        <v>9.2195386900947458</v>
      </c>
      <c r="Q51" s="10">
        <f t="shared" si="10"/>
        <v>407.05421076542211</v>
      </c>
      <c r="R51" s="10">
        <f t="shared" si="10"/>
        <v>9.4663769945446994</v>
      </c>
      <c r="S51" s="6"/>
    </row>
    <row r="52" spans="1:21" x14ac:dyDescent="0.25">
      <c r="A52">
        <v>44</v>
      </c>
      <c r="B52" s="1">
        <f t="shared" si="11"/>
        <v>4400000000</v>
      </c>
      <c r="C52" s="1">
        <v>22170</v>
      </c>
      <c r="D52" s="1">
        <v>22210</v>
      </c>
      <c r="E52" s="1">
        <v>22330</v>
      </c>
      <c r="F52" s="6">
        <f t="shared" si="0"/>
        <v>396932792.06134415</v>
      </c>
      <c r="G52" s="6">
        <f t="shared" si="1"/>
        <v>396217919.85592079</v>
      </c>
      <c r="H52" s="6">
        <f t="shared" si="2"/>
        <v>394088669.95073891</v>
      </c>
      <c r="I52" s="6">
        <f t="shared" si="3"/>
        <v>9021199.8195760027</v>
      </c>
      <c r="J52" s="6">
        <f t="shared" si="4"/>
        <v>9004952.7239982001</v>
      </c>
      <c r="K52" s="6">
        <f t="shared" si="5"/>
        <v>8956560.6806986108</v>
      </c>
      <c r="L52" s="6">
        <f t="shared" si="12"/>
        <v>411527333.96064651</v>
      </c>
      <c r="M52" s="6">
        <f t="shared" si="7"/>
        <v>9352893.9536510576</v>
      </c>
      <c r="N52" s="6"/>
      <c r="O52" s="10">
        <f t="shared" si="8"/>
        <v>395.746460622668</v>
      </c>
      <c r="P52" s="10">
        <f t="shared" si="9"/>
        <v>8.9942377414242713</v>
      </c>
      <c r="Q52" s="10">
        <f t="shared" si="10"/>
        <v>411.5273339606465</v>
      </c>
      <c r="R52" s="10">
        <f t="shared" si="10"/>
        <v>9.3528939536510567</v>
      </c>
      <c r="S52" s="6"/>
    </row>
    <row r="53" spans="1:21" x14ac:dyDescent="0.25">
      <c r="A53">
        <v>45</v>
      </c>
      <c r="B53" s="1">
        <f t="shared" si="11"/>
        <v>4500000000</v>
      </c>
      <c r="C53" s="1">
        <v>22530</v>
      </c>
      <c r="D53" s="1">
        <v>22190</v>
      </c>
      <c r="E53" s="1">
        <v>22320</v>
      </c>
      <c r="F53" s="6">
        <f t="shared" si="0"/>
        <v>399467376.83089215</v>
      </c>
      <c r="G53" s="6">
        <f t="shared" si="1"/>
        <v>405588102.74898607</v>
      </c>
      <c r="H53" s="6">
        <f t="shared" si="2"/>
        <v>403225806.45161289</v>
      </c>
      <c r="I53" s="6">
        <f t="shared" si="3"/>
        <v>8877052.8184642699</v>
      </c>
      <c r="J53" s="6">
        <f t="shared" si="4"/>
        <v>9013068.9499774687</v>
      </c>
      <c r="K53" s="6">
        <f t="shared" si="5"/>
        <v>8960573.4767025094</v>
      </c>
      <c r="L53" s="6">
        <f t="shared" si="12"/>
        <v>416000457.15587091</v>
      </c>
      <c r="M53" s="6">
        <f t="shared" si="7"/>
        <v>9244454.6034637988</v>
      </c>
      <c r="N53" s="6"/>
      <c r="O53" s="10">
        <f t="shared" si="8"/>
        <v>402.76042867716365</v>
      </c>
      <c r="P53" s="10">
        <f t="shared" si="9"/>
        <v>8.950231748381416</v>
      </c>
      <c r="Q53" s="10">
        <f t="shared" si="10"/>
        <v>416.00045715587089</v>
      </c>
      <c r="R53" s="10">
        <f t="shared" si="10"/>
        <v>9.2444546034637991</v>
      </c>
      <c r="S53" s="6"/>
    </row>
    <row r="54" spans="1:21" x14ac:dyDescent="0.25">
      <c r="A54">
        <v>46</v>
      </c>
      <c r="B54" s="1">
        <f t="shared" si="11"/>
        <v>4600000000</v>
      </c>
      <c r="C54" s="1">
        <v>22370</v>
      </c>
      <c r="D54" s="1">
        <v>22610</v>
      </c>
      <c r="E54" s="1">
        <v>22520</v>
      </c>
      <c r="F54" s="6">
        <f t="shared" si="0"/>
        <v>411265087.17031735</v>
      </c>
      <c r="G54" s="6">
        <f t="shared" si="1"/>
        <v>406899601.94604158</v>
      </c>
      <c r="H54" s="6">
        <f t="shared" si="2"/>
        <v>408525754.88454711</v>
      </c>
      <c r="I54" s="6">
        <f t="shared" si="3"/>
        <v>8940545.373267768</v>
      </c>
      <c r="J54" s="6">
        <f t="shared" si="4"/>
        <v>8845643.5205661207</v>
      </c>
      <c r="K54" s="6">
        <f t="shared" si="5"/>
        <v>8880994.6714031976</v>
      </c>
      <c r="L54" s="6">
        <f t="shared" si="12"/>
        <v>420473580.35109532</v>
      </c>
      <c r="M54" s="6">
        <f t="shared" si="7"/>
        <v>9140730.007632507</v>
      </c>
      <c r="N54" s="6"/>
      <c r="O54" s="10">
        <f t="shared" si="8"/>
        <v>408.89681466696862</v>
      </c>
      <c r="P54" s="10">
        <f t="shared" si="9"/>
        <v>8.8890611884123629</v>
      </c>
      <c r="Q54" s="10">
        <f t="shared" si="10"/>
        <v>420.47358035109534</v>
      </c>
      <c r="R54" s="10">
        <f t="shared" si="10"/>
        <v>9.1407300076325075</v>
      </c>
      <c r="S54" s="6"/>
    </row>
    <row r="55" spans="1:21" x14ac:dyDescent="0.25">
      <c r="A55">
        <v>47</v>
      </c>
      <c r="B55" s="1">
        <f t="shared" si="11"/>
        <v>4700000000</v>
      </c>
      <c r="C55" s="1">
        <v>22860</v>
      </c>
      <c r="D55" s="1">
        <v>22860</v>
      </c>
      <c r="E55" s="1">
        <v>22520</v>
      </c>
      <c r="F55" s="6">
        <f t="shared" si="0"/>
        <v>411198600.17497814</v>
      </c>
      <c r="G55" s="6">
        <f t="shared" si="1"/>
        <v>411198600.17497814</v>
      </c>
      <c r="H55" s="6">
        <f t="shared" si="2"/>
        <v>417406749.55595028</v>
      </c>
      <c r="I55" s="6">
        <f t="shared" si="3"/>
        <v>8748906.3867016621</v>
      </c>
      <c r="J55" s="6">
        <f t="shared" si="4"/>
        <v>8748906.3867016621</v>
      </c>
      <c r="K55" s="6">
        <f t="shared" si="5"/>
        <v>8880994.6714031976</v>
      </c>
      <c r="L55" s="6">
        <f t="shared" si="12"/>
        <v>424946703.54631978</v>
      </c>
      <c r="M55" s="6">
        <f t="shared" si="7"/>
        <v>9041419.2243897822</v>
      </c>
      <c r="N55" s="6"/>
      <c r="O55" s="10">
        <f t="shared" si="8"/>
        <v>413.26798330196885</v>
      </c>
      <c r="P55" s="10">
        <f t="shared" si="9"/>
        <v>8.7929358149355075</v>
      </c>
      <c r="Q55" s="10">
        <f t="shared" si="10"/>
        <v>424.94670354631978</v>
      </c>
      <c r="R55" s="10">
        <f t="shared" si="10"/>
        <v>9.0414192243897826</v>
      </c>
      <c r="S55" s="6"/>
    </row>
    <row r="56" spans="1:21" x14ac:dyDescent="0.25">
      <c r="A56">
        <v>48</v>
      </c>
      <c r="B56" s="1">
        <f t="shared" si="11"/>
        <v>4800000000</v>
      </c>
      <c r="C56" s="1">
        <v>23080</v>
      </c>
      <c r="D56" s="1">
        <v>22980</v>
      </c>
      <c r="E56" s="1">
        <v>23180</v>
      </c>
      <c r="F56" s="6">
        <f t="shared" si="0"/>
        <v>415944540.72790295</v>
      </c>
      <c r="G56" s="6">
        <f t="shared" si="1"/>
        <v>417754569.19060051</v>
      </c>
      <c r="H56" s="6">
        <f t="shared" si="2"/>
        <v>414150129.42191547</v>
      </c>
      <c r="I56" s="6">
        <f t="shared" si="3"/>
        <v>8665511.2651646454</v>
      </c>
      <c r="J56" s="6">
        <f t="shared" si="4"/>
        <v>8703220.1914708447</v>
      </c>
      <c r="K56" s="6">
        <f t="shared" si="5"/>
        <v>8628127.6962899063</v>
      </c>
      <c r="L56" s="6">
        <f t="shared" si="12"/>
        <v>429419826.74154419</v>
      </c>
      <c r="M56" s="6">
        <f t="shared" si="7"/>
        <v>8946246.3904488366</v>
      </c>
      <c r="N56" s="6"/>
      <c r="O56" s="10">
        <f t="shared" si="8"/>
        <v>415.94974644680639</v>
      </c>
      <c r="P56" s="10">
        <f t="shared" si="9"/>
        <v>8.6656197176417979</v>
      </c>
      <c r="Q56" s="10">
        <f t="shared" si="10"/>
        <v>429.41982674154417</v>
      </c>
      <c r="R56" s="10">
        <f t="shared" si="10"/>
        <v>8.9462463904488363</v>
      </c>
      <c r="S56" s="6"/>
    </row>
    <row r="57" spans="1:21" x14ac:dyDescent="0.25">
      <c r="A57">
        <v>49</v>
      </c>
      <c r="B57" s="1">
        <f t="shared" si="11"/>
        <v>4900000000</v>
      </c>
      <c r="C57" s="1">
        <v>23330</v>
      </c>
      <c r="D57" s="1">
        <v>23610</v>
      </c>
      <c r="E57" s="1">
        <v>23780</v>
      </c>
      <c r="F57" s="6">
        <f t="shared" si="0"/>
        <v>420060008.57265323</v>
      </c>
      <c r="G57" s="6">
        <f t="shared" si="1"/>
        <v>415078356.62854725</v>
      </c>
      <c r="H57" s="6">
        <f t="shared" si="2"/>
        <v>412111017.66190076</v>
      </c>
      <c r="I57" s="6">
        <f t="shared" si="3"/>
        <v>8572653.236176597</v>
      </c>
      <c r="J57" s="6">
        <f t="shared" si="4"/>
        <v>8470986.8699703515</v>
      </c>
      <c r="K57" s="6">
        <f t="shared" si="5"/>
        <v>8410428.931875525</v>
      </c>
      <c r="L57" s="6">
        <f t="shared" si="12"/>
        <v>433892949.93676859</v>
      </c>
      <c r="M57" s="6">
        <f t="shared" si="7"/>
        <v>8854958.1619748697</v>
      </c>
      <c r="N57" s="6"/>
      <c r="O57" s="10">
        <f t="shared" si="8"/>
        <v>415.74979428770041</v>
      </c>
      <c r="P57" s="10">
        <f t="shared" si="9"/>
        <v>8.4846896793408249</v>
      </c>
      <c r="Q57" s="10">
        <f t="shared" si="10"/>
        <v>433.89294993676862</v>
      </c>
      <c r="R57" s="10">
        <f t="shared" si="10"/>
        <v>8.854958161974869</v>
      </c>
      <c r="S57" s="6"/>
    </row>
    <row r="58" spans="1:21" x14ac:dyDescent="0.25">
      <c r="A58">
        <v>50</v>
      </c>
      <c r="B58" s="1">
        <f t="shared" si="11"/>
        <v>5000000000</v>
      </c>
      <c r="C58" s="1">
        <v>24020</v>
      </c>
      <c r="D58" s="1">
        <v>24650</v>
      </c>
      <c r="E58" s="1">
        <v>24380</v>
      </c>
      <c r="F58" s="6">
        <f t="shared" si="0"/>
        <v>416319733.55537051</v>
      </c>
      <c r="G58" s="6">
        <f t="shared" si="1"/>
        <v>405679513.18458414</v>
      </c>
      <c r="H58" s="6">
        <f t="shared" si="2"/>
        <v>410172272.35438883</v>
      </c>
      <c r="I58" s="6">
        <f t="shared" si="3"/>
        <v>8326394.6711074105</v>
      </c>
      <c r="J58" s="6">
        <f t="shared" si="4"/>
        <v>8113590.2636916824</v>
      </c>
      <c r="K58" s="6">
        <f t="shared" si="5"/>
        <v>8203445.4470877768</v>
      </c>
      <c r="L58" s="6">
        <f t="shared" si="12"/>
        <v>438366073.131993</v>
      </c>
      <c r="M58" s="6">
        <f t="shared" si="7"/>
        <v>8767321.4626398608</v>
      </c>
      <c r="N58" s="6"/>
      <c r="O58" s="10">
        <f t="shared" si="8"/>
        <v>410.72383969811455</v>
      </c>
      <c r="P58" s="10">
        <f t="shared" si="9"/>
        <v>8.2144767939622891</v>
      </c>
      <c r="Q58" s="10">
        <f t="shared" si="10"/>
        <v>438.36607313199301</v>
      </c>
      <c r="R58" s="10">
        <f t="shared" si="10"/>
        <v>8.7673214626398615</v>
      </c>
      <c r="S58" s="6"/>
    </row>
    <row r="59" spans="1:21" x14ac:dyDescent="0.25">
      <c r="A59">
        <v>51</v>
      </c>
      <c r="B59" s="1">
        <f t="shared" si="11"/>
        <v>5100000000</v>
      </c>
      <c r="C59" s="1">
        <v>24670</v>
      </c>
      <c r="D59" s="1">
        <v>26120</v>
      </c>
      <c r="E59" s="1">
        <v>24850</v>
      </c>
      <c r="F59" s="6">
        <f t="shared" si="0"/>
        <v>413457640.85934335</v>
      </c>
      <c r="G59" s="6">
        <f t="shared" si="1"/>
        <v>390505359.87748849</v>
      </c>
      <c r="H59" s="6">
        <f t="shared" si="2"/>
        <v>410462776.65995973</v>
      </c>
      <c r="I59" s="6">
        <f t="shared" si="3"/>
        <v>8107012.5658694776</v>
      </c>
      <c r="J59" s="6">
        <f t="shared" si="4"/>
        <v>7656967.8407350685</v>
      </c>
      <c r="K59" s="6">
        <f t="shared" si="5"/>
        <v>8048289.7384305829</v>
      </c>
      <c r="L59" s="6">
        <f t="shared" si="12"/>
        <v>442839196.32721746</v>
      </c>
      <c r="M59" s="6">
        <f t="shared" si="7"/>
        <v>8683121.4966121074</v>
      </c>
      <c r="N59" s="6"/>
      <c r="O59" s="10">
        <f t="shared" si="8"/>
        <v>404.8085924655972</v>
      </c>
      <c r="P59" s="10">
        <f t="shared" si="9"/>
        <v>7.9374233816783759</v>
      </c>
      <c r="Q59" s="10">
        <f t="shared" si="10"/>
        <v>442.83919632721745</v>
      </c>
      <c r="R59" s="10">
        <f t="shared" si="10"/>
        <v>8.6831214966121077</v>
      </c>
      <c r="S59" s="6"/>
    </row>
    <row r="60" spans="1:21" x14ac:dyDescent="0.25">
      <c r="A60">
        <v>52</v>
      </c>
      <c r="B60" s="1">
        <f t="shared" si="11"/>
        <v>5200000000</v>
      </c>
      <c r="C60" s="1">
        <v>24960</v>
      </c>
      <c r="D60" s="1">
        <v>23970</v>
      </c>
      <c r="E60" s="1">
        <v>24020</v>
      </c>
      <c r="F60" s="6">
        <f t="shared" si="0"/>
        <v>416666666.66666669</v>
      </c>
      <c r="G60" s="6">
        <f t="shared" si="1"/>
        <v>433875677.93074673</v>
      </c>
      <c r="H60" s="6">
        <f t="shared" si="2"/>
        <v>432972522.89758533</v>
      </c>
      <c r="I60" s="6">
        <f t="shared" si="3"/>
        <v>8012820.512820513</v>
      </c>
      <c r="J60" s="6">
        <f t="shared" si="4"/>
        <v>8343763.0371297449</v>
      </c>
      <c r="K60" s="6">
        <f t="shared" si="5"/>
        <v>8326394.6711074105</v>
      </c>
      <c r="L60" s="6">
        <f t="shared" si="12"/>
        <v>447312319.52244186</v>
      </c>
      <c r="M60" s="6">
        <f t="shared" si="7"/>
        <v>8602159.990816189</v>
      </c>
      <c r="N60" s="6"/>
      <c r="O60" s="10">
        <f t="shared" si="8"/>
        <v>427.83828916499954</v>
      </c>
      <c r="P60" s="10">
        <f t="shared" si="9"/>
        <v>8.2276594070192228</v>
      </c>
      <c r="Q60" s="10">
        <f t="shared" si="10"/>
        <v>447.31231952244184</v>
      </c>
      <c r="R60" s="10">
        <f t="shared" si="10"/>
        <v>8.6021599908161885</v>
      </c>
      <c r="S60" s="6"/>
      <c r="U60" t="s">
        <v>10</v>
      </c>
    </row>
    <row r="61" spans="1:21" x14ac:dyDescent="0.25">
      <c r="A61">
        <v>53</v>
      </c>
      <c r="B61" s="1">
        <f t="shared" si="11"/>
        <v>5300000000</v>
      </c>
      <c r="C61" s="1">
        <v>25290</v>
      </c>
      <c r="D61" s="1">
        <v>26070</v>
      </c>
      <c r="E61" s="1">
        <v>25950</v>
      </c>
      <c r="F61" s="6">
        <f t="shared" si="0"/>
        <v>419137999.20917362</v>
      </c>
      <c r="G61" s="6">
        <f t="shared" si="1"/>
        <v>406597621.7874952</v>
      </c>
      <c r="H61" s="6">
        <f t="shared" si="2"/>
        <v>408477842.00385356</v>
      </c>
      <c r="I61" s="6">
        <f t="shared" si="3"/>
        <v>7908264.136022144</v>
      </c>
      <c r="J61" s="6">
        <f t="shared" si="4"/>
        <v>7671653.2412734944</v>
      </c>
      <c r="K61" s="6">
        <f t="shared" si="5"/>
        <v>7707129.0944123315</v>
      </c>
      <c r="L61" s="6">
        <f t="shared" si="12"/>
        <v>451785442.71766627</v>
      </c>
      <c r="M61" s="6">
        <f t="shared" si="7"/>
        <v>8524253.6361823827</v>
      </c>
      <c r="N61" s="6"/>
      <c r="O61" s="10">
        <f t="shared" si="8"/>
        <v>411.40448766684079</v>
      </c>
      <c r="P61" s="10">
        <f t="shared" si="9"/>
        <v>7.7623488239026566</v>
      </c>
      <c r="Q61" s="10">
        <f t="shared" si="10"/>
        <v>451.78544271766629</v>
      </c>
      <c r="R61" s="10">
        <f t="shared" si="10"/>
        <v>8.5242536361823831</v>
      </c>
      <c r="S61" s="6"/>
    </row>
    <row r="62" spans="1:21" x14ac:dyDescent="0.25">
      <c r="A62">
        <v>54</v>
      </c>
      <c r="B62" s="1">
        <f t="shared" si="11"/>
        <v>5400000000</v>
      </c>
      <c r="C62" s="1">
        <v>25250</v>
      </c>
      <c r="D62" s="1">
        <v>24790</v>
      </c>
      <c r="E62" s="1">
        <v>25700</v>
      </c>
      <c r="F62" s="6">
        <f t="shared" si="0"/>
        <v>427722772.2772277</v>
      </c>
      <c r="G62" s="6">
        <f t="shared" si="1"/>
        <v>435659540.13715208</v>
      </c>
      <c r="H62" s="6">
        <f t="shared" si="2"/>
        <v>420233463.03501946</v>
      </c>
      <c r="I62" s="6">
        <f t="shared" si="3"/>
        <v>7920792.0792079205</v>
      </c>
      <c r="J62" s="6">
        <f t="shared" si="4"/>
        <v>8067769.2617991129</v>
      </c>
      <c r="K62" s="6">
        <f t="shared" si="5"/>
        <v>7782101.1673151748</v>
      </c>
      <c r="L62" s="6">
        <f t="shared" si="12"/>
        <v>456258565.91289067</v>
      </c>
      <c r="M62" s="6">
        <f t="shared" si="7"/>
        <v>8449232.7020905688</v>
      </c>
      <c r="N62" s="6"/>
      <c r="O62" s="10">
        <f t="shared" si="8"/>
        <v>427.87192514979978</v>
      </c>
      <c r="P62" s="10">
        <f t="shared" si="9"/>
        <v>7.9235541694407363</v>
      </c>
      <c r="Q62" s="10">
        <f t="shared" si="10"/>
        <v>456.25856591289067</v>
      </c>
      <c r="R62" s="10">
        <f t="shared" si="10"/>
        <v>8.4492327020905691</v>
      </c>
      <c r="S62" s="6"/>
      <c r="U62" t="s">
        <v>9</v>
      </c>
    </row>
    <row r="63" spans="1:21" x14ac:dyDescent="0.25">
      <c r="A63">
        <v>55</v>
      </c>
      <c r="B63" s="1">
        <f t="shared" si="11"/>
        <v>5500000000</v>
      </c>
      <c r="C63" s="1">
        <v>26070</v>
      </c>
      <c r="D63" s="1">
        <v>27100</v>
      </c>
      <c r="E63" s="1">
        <v>26710</v>
      </c>
      <c r="F63" s="6">
        <f t="shared" si="0"/>
        <v>421940928.27004218</v>
      </c>
      <c r="G63" s="6">
        <f t="shared" si="1"/>
        <v>405904059.04059041</v>
      </c>
      <c r="H63" s="6">
        <f t="shared" si="2"/>
        <v>411830774.99064022</v>
      </c>
      <c r="I63" s="6">
        <f t="shared" si="3"/>
        <v>7671653.2412734944</v>
      </c>
      <c r="J63" s="6">
        <f t="shared" si="4"/>
        <v>7380073.8007380078</v>
      </c>
      <c r="K63" s="6">
        <f t="shared" si="5"/>
        <v>7487832.2725570947</v>
      </c>
      <c r="L63" s="6">
        <f t="shared" si="12"/>
        <v>460731689.10811508</v>
      </c>
      <c r="M63" s="6">
        <f t="shared" si="7"/>
        <v>8376939.8019657284</v>
      </c>
      <c r="N63" s="6"/>
      <c r="O63" s="10">
        <f t="shared" si="8"/>
        <v>413.22525410042431</v>
      </c>
      <c r="P63" s="10">
        <f t="shared" si="9"/>
        <v>7.5131864381895328</v>
      </c>
      <c r="Q63" s="10">
        <f t="shared" si="10"/>
        <v>460.73168910811506</v>
      </c>
      <c r="R63" s="10">
        <f t="shared" si="10"/>
        <v>8.3769398019657277</v>
      </c>
      <c r="S63" s="6"/>
    </row>
    <row r="64" spans="1:21" x14ac:dyDescent="0.25">
      <c r="A64">
        <v>56</v>
      </c>
      <c r="B64" s="1">
        <f t="shared" si="11"/>
        <v>5600000000</v>
      </c>
      <c r="C64" s="1">
        <v>25250</v>
      </c>
      <c r="D64" s="1">
        <v>25960</v>
      </c>
      <c r="E64" s="1">
        <v>27400</v>
      </c>
      <c r="F64" s="6">
        <f t="shared" si="0"/>
        <v>443564356.43564355</v>
      </c>
      <c r="G64" s="6">
        <f t="shared" si="1"/>
        <v>431432973.80585515</v>
      </c>
      <c r="H64" s="6">
        <f t="shared" si="2"/>
        <v>408759124.08759123</v>
      </c>
      <c r="I64" s="6">
        <f t="shared" si="3"/>
        <v>7920792.0792079205</v>
      </c>
      <c r="J64" s="6">
        <f t="shared" si="4"/>
        <v>7704160.2465331275</v>
      </c>
      <c r="K64" s="6">
        <f t="shared" si="5"/>
        <v>7299270.0729927002</v>
      </c>
      <c r="L64" s="6">
        <f t="shared" si="12"/>
        <v>465204812.30333954</v>
      </c>
      <c r="M64" s="6">
        <f t="shared" si="7"/>
        <v>8307228.7911310634</v>
      </c>
      <c r="N64" s="6"/>
      <c r="O64" s="10">
        <f t="shared" si="8"/>
        <v>427.91881810969664</v>
      </c>
      <c r="P64" s="10">
        <f t="shared" si="9"/>
        <v>7.6414074662445834</v>
      </c>
      <c r="Q64" s="10">
        <f t="shared" si="10"/>
        <v>465.20481230333957</v>
      </c>
      <c r="R64" s="10">
        <f t="shared" si="10"/>
        <v>8.3072287911310632</v>
      </c>
      <c r="S64" s="6"/>
    </row>
    <row r="65" spans="1:19" x14ac:dyDescent="0.25">
      <c r="A65">
        <v>57</v>
      </c>
      <c r="B65" s="1">
        <f t="shared" si="11"/>
        <v>5700000000</v>
      </c>
      <c r="C65" s="1">
        <v>26390</v>
      </c>
      <c r="D65" s="1">
        <v>25990</v>
      </c>
      <c r="E65" s="1">
        <v>26010</v>
      </c>
      <c r="F65" s="6">
        <f t="shared" si="0"/>
        <v>431981811.2921561</v>
      </c>
      <c r="G65" s="6">
        <f t="shared" si="1"/>
        <v>438630242.40092343</v>
      </c>
      <c r="H65" s="6">
        <f t="shared" si="2"/>
        <v>438292964.24452132</v>
      </c>
      <c r="I65" s="6">
        <f t="shared" si="3"/>
        <v>7578628.2682834407</v>
      </c>
      <c r="J65" s="6">
        <f t="shared" si="4"/>
        <v>7695267.410542516</v>
      </c>
      <c r="K65" s="6">
        <f t="shared" si="5"/>
        <v>7689350.2499038829</v>
      </c>
      <c r="L65" s="6">
        <f t="shared" si="12"/>
        <v>469677935.49856395</v>
      </c>
      <c r="M65" s="6">
        <f t="shared" si="7"/>
        <v>8239963.7806765605</v>
      </c>
      <c r="N65" s="6"/>
      <c r="O65" s="10">
        <f t="shared" si="8"/>
        <v>436.30167264586692</v>
      </c>
      <c r="P65" s="10">
        <f t="shared" si="9"/>
        <v>7.6544153095766125</v>
      </c>
      <c r="Q65" s="10">
        <f t="shared" si="10"/>
        <v>469.67793549856395</v>
      </c>
      <c r="R65" s="10">
        <f t="shared" si="10"/>
        <v>8.2399637806765611</v>
      </c>
      <c r="S65" s="6"/>
    </row>
    <row r="66" spans="1:19" x14ac:dyDescent="0.25">
      <c r="A66">
        <v>58</v>
      </c>
      <c r="B66" s="1">
        <f t="shared" si="11"/>
        <v>5800000000</v>
      </c>
      <c r="C66" s="1">
        <v>27060</v>
      </c>
      <c r="D66" s="1">
        <v>26360</v>
      </c>
      <c r="E66" s="1">
        <v>26180</v>
      </c>
      <c r="F66" s="6">
        <f t="shared" si="0"/>
        <v>428677014.04286772</v>
      </c>
      <c r="G66" s="6">
        <f t="shared" si="1"/>
        <v>440060698.02731407</v>
      </c>
      <c r="H66" s="6">
        <f t="shared" si="2"/>
        <v>443086325.43926662</v>
      </c>
      <c r="I66" s="6">
        <f t="shared" si="3"/>
        <v>7390983.0007390985</v>
      </c>
      <c r="J66" s="6">
        <f t="shared" si="4"/>
        <v>7587253.4142640354</v>
      </c>
      <c r="K66" s="6">
        <f t="shared" si="5"/>
        <v>7639419.4041252863</v>
      </c>
      <c r="L66" s="6">
        <f t="shared" si="12"/>
        <v>474151058.69378835</v>
      </c>
      <c r="M66" s="6">
        <f t="shared" si="7"/>
        <v>8175018.2533411784</v>
      </c>
      <c r="N66" s="6"/>
      <c r="O66" s="10">
        <f t="shared" si="8"/>
        <v>437.27467916981618</v>
      </c>
      <c r="P66" s="10">
        <f t="shared" si="9"/>
        <v>7.5392186063761404</v>
      </c>
      <c r="Q66" s="10">
        <f t="shared" si="10"/>
        <v>474.15105869378834</v>
      </c>
      <c r="R66" s="10">
        <f t="shared" si="10"/>
        <v>8.1750182533411788</v>
      </c>
      <c r="S66" s="6"/>
    </row>
    <row r="67" spans="1:19" x14ac:dyDescent="0.25">
      <c r="A67">
        <v>59</v>
      </c>
      <c r="B67" s="1">
        <f t="shared" si="11"/>
        <v>5900000000</v>
      </c>
      <c r="C67" s="1">
        <v>26840</v>
      </c>
      <c r="D67" s="1">
        <v>26470</v>
      </c>
      <c r="E67" s="1">
        <v>27030</v>
      </c>
      <c r="F67" s="6">
        <f t="shared" si="0"/>
        <v>439642324.88822651</v>
      </c>
      <c r="G67" s="6">
        <f t="shared" si="1"/>
        <v>445787684.17075932</v>
      </c>
      <c r="H67" s="6">
        <f t="shared" si="2"/>
        <v>436551979.28227895</v>
      </c>
      <c r="I67" s="6">
        <f t="shared" si="3"/>
        <v>7451564.8286140086</v>
      </c>
      <c r="J67" s="6">
        <f t="shared" si="4"/>
        <v>7555723.4605213441</v>
      </c>
      <c r="K67" s="6">
        <f t="shared" si="5"/>
        <v>7399186.0895301513</v>
      </c>
      <c r="L67" s="6">
        <f t="shared" si="12"/>
        <v>478624181.88901281</v>
      </c>
      <c r="M67" s="6">
        <f t="shared" si="7"/>
        <v>8112274.2693053018</v>
      </c>
      <c r="N67" s="6"/>
      <c r="O67" s="10">
        <f t="shared" si="8"/>
        <v>440.66066278042155</v>
      </c>
      <c r="P67" s="10">
        <f t="shared" si="9"/>
        <v>7.4688247928885003</v>
      </c>
      <c r="Q67" s="10">
        <f t="shared" si="10"/>
        <v>478.62418188901279</v>
      </c>
      <c r="R67" s="10">
        <f t="shared" si="10"/>
        <v>8.1122742693053027</v>
      </c>
      <c r="S67" s="6"/>
    </row>
    <row r="68" spans="1:19" x14ac:dyDescent="0.25">
      <c r="A68">
        <v>60</v>
      </c>
      <c r="B68" s="1">
        <f t="shared" si="11"/>
        <v>6000000000</v>
      </c>
      <c r="C68" s="1">
        <v>25930</v>
      </c>
      <c r="D68" s="1">
        <v>29170</v>
      </c>
      <c r="E68" s="1">
        <v>28280</v>
      </c>
      <c r="F68" s="6">
        <f t="shared" si="0"/>
        <v>462784419.59120709</v>
      </c>
      <c r="G68" s="6">
        <f t="shared" si="1"/>
        <v>411381556.39355505</v>
      </c>
      <c r="H68" s="6">
        <f t="shared" si="2"/>
        <v>424328147.10042435</v>
      </c>
      <c r="I68" s="6">
        <f t="shared" si="3"/>
        <v>7713073.6598534519</v>
      </c>
      <c r="J68" s="6">
        <f t="shared" si="4"/>
        <v>6856359.2732259175</v>
      </c>
      <c r="K68" s="6">
        <f t="shared" si="5"/>
        <v>7072135.7850070726</v>
      </c>
      <c r="L68" s="6">
        <f t="shared" si="12"/>
        <v>483097305.08423722</v>
      </c>
      <c r="M68" s="6">
        <f t="shared" si="7"/>
        <v>8051621.7514039539</v>
      </c>
      <c r="N68" s="6"/>
      <c r="O68" s="10">
        <f t="shared" si="8"/>
        <v>432.83137436172882</v>
      </c>
      <c r="P68" s="10">
        <f t="shared" si="9"/>
        <v>7.2138562393621477</v>
      </c>
      <c r="Q68" s="10">
        <f t="shared" si="10"/>
        <v>483.09730508423723</v>
      </c>
      <c r="R68" s="10">
        <f t="shared" si="10"/>
        <v>8.0516217514039532</v>
      </c>
      <c r="S68" s="6"/>
    </row>
    <row r="69" spans="1:19" x14ac:dyDescent="0.25">
      <c r="A69">
        <v>61</v>
      </c>
      <c r="B69" s="1">
        <f t="shared" si="11"/>
        <v>6100000000</v>
      </c>
      <c r="C69" s="1">
        <v>25790</v>
      </c>
      <c r="D69" s="1">
        <v>26720</v>
      </c>
      <c r="E69" s="1">
        <v>28360</v>
      </c>
      <c r="F69" s="6">
        <f t="shared" si="0"/>
        <v>473051570.37611473</v>
      </c>
      <c r="G69" s="6">
        <f t="shared" si="1"/>
        <v>456586826.34730536</v>
      </c>
      <c r="H69" s="6">
        <f t="shared" si="2"/>
        <v>430183356.84062058</v>
      </c>
      <c r="I69" s="6">
        <f t="shared" si="3"/>
        <v>7754943.7766576186</v>
      </c>
      <c r="J69" s="6">
        <f t="shared" si="4"/>
        <v>7485029.9401197601</v>
      </c>
      <c r="K69" s="6">
        <f t="shared" si="5"/>
        <v>7052186.177715091</v>
      </c>
      <c r="L69" s="6">
        <f t="shared" si="12"/>
        <v>487570428.27946162</v>
      </c>
      <c r="M69" s="6">
        <f t="shared" si="7"/>
        <v>7992957.8406469114</v>
      </c>
      <c r="N69" s="6"/>
      <c r="O69" s="10">
        <f t="shared" si="8"/>
        <v>453.27391785468023</v>
      </c>
      <c r="P69" s="10">
        <f t="shared" si="9"/>
        <v>7.4307199648308231</v>
      </c>
      <c r="Q69" s="10">
        <f t="shared" si="10"/>
        <v>487.57042827946162</v>
      </c>
      <c r="R69" s="10">
        <f t="shared" si="10"/>
        <v>7.9929578406469117</v>
      </c>
      <c r="S69" s="6"/>
    </row>
    <row r="70" spans="1:19" x14ac:dyDescent="0.25">
      <c r="A70">
        <v>62</v>
      </c>
      <c r="B70" s="1">
        <f t="shared" si="11"/>
        <v>6200000000</v>
      </c>
      <c r="C70" s="1">
        <v>26950</v>
      </c>
      <c r="D70" s="1">
        <v>26840</v>
      </c>
      <c r="E70" s="1">
        <v>27080</v>
      </c>
      <c r="F70" s="6">
        <f t="shared" si="0"/>
        <v>460111317.25417441</v>
      </c>
      <c r="G70" s="6">
        <f t="shared" si="1"/>
        <v>461997019.37406856</v>
      </c>
      <c r="H70" s="6">
        <f t="shared" si="2"/>
        <v>457902511.07828659</v>
      </c>
      <c r="I70" s="6">
        <f t="shared" si="3"/>
        <v>7421150.2782931356</v>
      </c>
      <c r="J70" s="6">
        <f t="shared" si="4"/>
        <v>7451564.8286140086</v>
      </c>
      <c r="K70" s="6">
        <f t="shared" si="5"/>
        <v>7385524.3722304292</v>
      </c>
      <c r="L70" s="6">
        <f t="shared" si="12"/>
        <v>492043551.47468603</v>
      </c>
      <c r="M70" s="6">
        <f t="shared" si="7"/>
        <v>7936186.314107839</v>
      </c>
      <c r="N70" s="6"/>
      <c r="O70" s="10">
        <f t="shared" si="8"/>
        <v>460.00361590217653</v>
      </c>
      <c r="P70" s="10">
        <f t="shared" si="9"/>
        <v>7.4194131597125246</v>
      </c>
      <c r="Q70" s="10">
        <f t="shared" si="10"/>
        <v>492.04355147468601</v>
      </c>
      <c r="R70" s="10">
        <f t="shared" si="10"/>
        <v>7.9361863141078386</v>
      </c>
      <c r="S70" s="6"/>
    </row>
    <row r="71" spans="1:19" x14ac:dyDescent="0.25">
      <c r="A71">
        <v>63</v>
      </c>
      <c r="B71" s="1">
        <f t="shared" si="11"/>
        <v>6300000000</v>
      </c>
      <c r="C71" s="1">
        <v>27220</v>
      </c>
      <c r="D71" s="1">
        <v>27840</v>
      </c>
      <c r="E71" s="1">
        <v>27110</v>
      </c>
      <c r="F71" s="6">
        <f t="shared" si="0"/>
        <v>462894930.19838351</v>
      </c>
      <c r="G71" s="6">
        <f t="shared" si="1"/>
        <v>452586206.89655173</v>
      </c>
      <c r="H71" s="6">
        <f t="shared" si="2"/>
        <v>464773146.44042784</v>
      </c>
      <c r="I71" s="6">
        <f t="shared" si="3"/>
        <v>7347538.5745775159</v>
      </c>
      <c r="J71" s="6">
        <f t="shared" si="4"/>
        <v>7183908.0459770113</v>
      </c>
      <c r="K71" s="6">
        <f t="shared" si="5"/>
        <v>7377351.5308004422</v>
      </c>
      <c r="L71" s="6">
        <f t="shared" si="12"/>
        <v>496516674.66991043</v>
      </c>
      <c r="M71" s="6">
        <f t="shared" si="7"/>
        <v>7881217.0582525469</v>
      </c>
      <c r="N71" s="6"/>
      <c r="O71" s="10">
        <f t="shared" si="8"/>
        <v>460.08476117845436</v>
      </c>
      <c r="P71" s="10">
        <f t="shared" si="9"/>
        <v>7.3029327171183231</v>
      </c>
      <c r="Q71" s="10">
        <f t="shared" si="10"/>
        <v>496.51667466991046</v>
      </c>
      <c r="R71" s="10">
        <f t="shared" si="10"/>
        <v>7.8812170582525471</v>
      </c>
      <c r="S71" s="6"/>
    </row>
    <row r="72" spans="1:19" x14ac:dyDescent="0.25">
      <c r="A72">
        <v>64</v>
      </c>
      <c r="B72" s="1">
        <f t="shared" si="11"/>
        <v>6400000000</v>
      </c>
      <c r="C72" s="1">
        <v>27250</v>
      </c>
      <c r="D72" s="1">
        <v>28260</v>
      </c>
      <c r="E72" s="1">
        <v>28290</v>
      </c>
      <c r="F72" s="6">
        <f t="shared" si="0"/>
        <v>469724770.64220184</v>
      </c>
      <c r="G72" s="6">
        <f t="shared" si="1"/>
        <v>452937013.4465676</v>
      </c>
      <c r="H72" s="6">
        <f t="shared" si="2"/>
        <v>452456698.48002827</v>
      </c>
      <c r="I72" s="6">
        <f t="shared" si="3"/>
        <v>7339449.5412844038</v>
      </c>
      <c r="J72" s="6">
        <f t="shared" si="4"/>
        <v>7077140.8351026187</v>
      </c>
      <c r="K72" s="6">
        <f t="shared" si="5"/>
        <v>7069635.9137504417</v>
      </c>
      <c r="L72" s="6">
        <f t="shared" si="12"/>
        <v>500989797.86513484</v>
      </c>
      <c r="M72" s="6">
        <f t="shared" si="7"/>
        <v>7827965.5916427318</v>
      </c>
      <c r="N72" s="6"/>
      <c r="O72" s="10">
        <f t="shared" si="8"/>
        <v>458.37282752293254</v>
      </c>
      <c r="P72" s="10">
        <f t="shared" si="9"/>
        <v>7.1620754300458209</v>
      </c>
      <c r="Q72" s="10">
        <f t="shared" si="10"/>
        <v>500.98979786513485</v>
      </c>
      <c r="R72" s="10">
        <f t="shared" si="10"/>
        <v>7.827965591642732</v>
      </c>
      <c r="S72" s="6"/>
    </row>
    <row r="73" spans="1:19" x14ac:dyDescent="0.25">
      <c r="A73">
        <v>65</v>
      </c>
      <c r="B73" s="1">
        <f t="shared" si="11"/>
        <v>6500000000</v>
      </c>
      <c r="C73" s="1">
        <v>26890</v>
      </c>
      <c r="D73" s="1">
        <v>28110</v>
      </c>
      <c r="E73" s="1">
        <v>27660</v>
      </c>
      <c r="F73" s="6">
        <f t="shared" si="0"/>
        <v>483451097.06210482</v>
      </c>
      <c r="G73" s="6">
        <f t="shared" si="1"/>
        <v>462468872.28744221</v>
      </c>
      <c r="H73" s="6">
        <f t="shared" si="2"/>
        <v>469992769.34201014</v>
      </c>
      <c r="I73" s="6">
        <f t="shared" si="3"/>
        <v>7437709.1855708435</v>
      </c>
      <c r="J73" s="6">
        <f t="shared" si="4"/>
        <v>7114905.7274991106</v>
      </c>
      <c r="K73" s="6">
        <f t="shared" si="5"/>
        <v>7230657.9898770787</v>
      </c>
      <c r="L73" s="6">
        <f>$L$72</f>
        <v>500989797.86513484</v>
      </c>
      <c r="M73" s="6">
        <f t="shared" si="7"/>
        <v>7707535.3517713053</v>
      </c>
      <c r="N73" s="6"/>
      <c r="O73" s="10">
        <f t="shared" si="8"/>
        <v>471.97091289718577</v>
      </c>
      <c r="P73" s="10">
        <f t="shared" si="9"/>
        <v>7.2610909676490101</v>
      </c>
      <c r="Q73" s="10">
        <f t="shared" si="10"/>
        <v>500.98979786513485</v>
      </c>
      <c r="R73" s="10">
        <f t="shared" si="10"/>
        <v>7.7075353517713054</v>
      </c>
      <c r="S73" s="6"/>
    </row>
    <row r="74" spans="1:19" x14ac:dyDescent="0.25">
      <c r="A74">
        <v>66</v>
      </c>
      <c r="B74" s="1">
        <f t="shared" si="11"/>
        <v>6600000000</v>
      </c>
      <c r="C74" s="1">
        <v>29030</v>
      </c>
      <c r="D74" s="1">
        <v>28070</v>
      </c>
      <c r="E74" s="1">
        <v>29710</v>
      </c>
      <c r="F74" s="6">
        <f t="shared" ref="F74:F88" si="13">B74*2/C74*1000</f>
        <v>454702032.38029629</v>
      </c>
      <c r="G74" s="6">
        <f t="shared" ref="G74:G88" si="14">B74*2/D74*1000</f>
        <v>470252939.08086926</v>
      </c>
      <c r="H74" s="6">
        <f t="shared" ref="H74:H88" si="15">B74*2/E74*1000</f>
        <v>444294850.21878159</v>
      </c>
      <c r="I74" s="6">
        <f t="shared" ref="I74:I88" si="16">F74/A74</f>
        <v>6889424.7330347924</v>
      </c>
      <c r="J74" s="6">
        <f t="shared" ref="J74:J88" si="17">G74/A74</f>
        <v>7125044.531528322</v>
      </c>
      <c r="K74" s="6">
        <f t="shared" ref="K74:K88" si="18">H74/A74</f>
        <v>6731740.1548300236</v>
      </c>
      <c r="L74" s="6">
        <f t="shared" ref="L74:L88" si="19">$L$72</f>
        <v>500989797.86513484</v>
      </c>
      <c r="M74" s="6">
        <f t="shared" si="7"/>
        <v>7590754.5131081035</v>
      </c>
      <c r="N74" s="6"/>
      <c r="O74" s="10">
        <f t="shared" ref="O74:O88" si="20">(F74+G74+H74)/3/1000000</f>
        <v>456.41660722664903</v>
      </c>
      <c r="P74" s="10">
        <f t="shared" ref="P74:P88" si="21">(I74+J74+K74)/3/1000000</f>
        <v>6.9154031397977125</v>
      </c>
      <c r="Q74" s="10">
        <f t="shared" ref="Q74:R88" si="22">L74/1000000</f>
        <v>500.98979786513485</v>
      </c>
      <c r="R74" s="10">
        <f t="shared" si="22"/>
        <v>7.5907545131081031</v>
      </c>
      <c r="S74" s="6"/>
    </row>
    <row r="75" spans="1:19" x14ac:dyDescent="0.25">
      <c r="A75">
        <v>67</v>
      </c>
      <c r="B75" s="1">
        <f t="shared" ref="B75:B88" si="23">$B$9*A75</f>
        <v>6700000000</v>
      </c>
      <c r="C75" s="1">
        <v>29560</v>
      </c>
      <c r="D75" s="1">
        <v>27780</v>
      </c>
      <c r="E75" s="1">
        <v>27900</v>
      </c>
      <c r="F75" s="6">
        <f t="shared" si="13"/>
        <v>453315290.93369418</v>
      </c>
      <c r="G75" s="6">
        <f t="shared" si="14"/>
        <v>482361411.08711302</v>
      </c>
      <c r="H75" s="6">
        <f t="shared" si="15"/>
        <v>480286738.35125446</v>
      </c>
      <c r="I75" s="6">
        <f t="shared" si="16"/>
        <v>6765899.8646820029</v>
      </c>
      <c r="J75" s="6">
        <f t="shared" si="17"/>
        <v>7199424.0460763136</v>
      </c>
      <c r="K75" s="6">
        <f t="shared" si="18"/>
        <v>7168458.7813620074</v>
      </c>
      <c r="L75" s="6">
        <f t="shared" si="19"/>
        <v>500989797.86513484</v>
      </c>
      <c r="M75" s="6">
        <f t="shared" ref="M75:M88" si="24">L75/A75</f>
        <v>7477459.6696288781</v>
      </c>
      <c r="N75" s="6"/>
      <c r="O75" s="10">
        <f t="shared" si="20"/>
        <v>471.98781345735387</v>
      </c>
      <c r="P75" s="10">
        <f t="shared" si="21"/>
        <v>7.0445942307067746</v>
      </c>
      <c r="Q75" s="10">
        <f t="shared" si="22"/>
        <v>500.98979786513485</v>
      </c>
      <c r="R75" s="10">
        <f t="shared" si="22"/>
        <v>7.4774596696288782</v>
      </c>
      <c r="S75" s="6"/>
    </row>
    <row r="76" spans="1:19" x14ac:dyDescent="0.25">
      <c r="A76">
        <v>68</v>
      </c>
      <c r="B76" s="1">
        <f t="shared" si="23"/>
        <v>6800000000</v>
      </c>
      <c r="C76" s="1">
        <v>29480</v>
      </c>
      <c r="D76" s="1">
        <v>30830</v>
      </c>
      <c r="E76" s="1">
        <v>30230</v>
      </c>
      <c r="F76" s="6">
        <f t="shared" si="13"/>
        <v>461329715.06105834</v>
      </c>
      <c r="G76" s="6">
        <f t="shared" si="14"/>
        <v>441128770.6779111</v>
      </c>
      <c r="H76" s="6">
        <f t="shared" si="15"/>
        <v>449884220.97254384</v>
      </c>
      <c r="I76" s="6">
        <f t="shared" si="16"/>
        <v>6784260.5156037994</v>
      </c>
      <c r="J76" s="6">
        <f t="shared" si="17"/>
        <v>6487187.8040869283</v>
      </c>
      <c r="K76" s="6">
        <f t="shared" si="18"/>
        <v>6615944.4260668214</v>
      </c>
      <c r="L76" s="6">
        <f t="shared" si="19"/>
        <v>500989797.86513484</v>
      </c>
      <c r="M76" s="6">
        <f t="shared" si="24"/>
        <v>7367497.0274284538</v>
      </c>
      <c r="N76" s="6"/>
      <c r="O76" s="10">
        <f t="shared" si="20"/>
        <v>450.78090223717112</v>
      </c>
      <c r="P76" s="10">
        <f t="shared" si="21"/>
        <v>6.6291309152525173</v>
      </c>
      <c r="Q76" s="10">
        <f t="shared" si="22"/>
        <v>500.98979786513485</v>
      </c>
      <c r="R76" s="10">
        <f t="shared" si="22"/>
        <v>7.3674970274284535</v>
      </c>
      <c r="S76" s="6"/>
    </row>
    <row r="77" spans="1:19" x14ac:dyDescent="0.25">
      <c r="A77">
        <v>69</v>
      </c>
      <c r="B77" s="1">
        <f t="shared" si="23"/>
        <v>6900000000</v>
      </c>
      <c r="C77" s="1">
        <v>29750</v>
      </c>
      <c r="D77" s="1">
        <v>28990</v>
      </c>
      <c r="E77" s="1">
        <v>31760</v>
      </c>
      <c r="F77" s="6">
        <f t="shared" si="13"/>
        <v>463865546.21848738</v>
      </c>
      <c r="G77" s="6">
        <f t="shared" si="14"/>
        <v>476026215.93652987</v>
      </c>
      <c r="H77" s="6">
        <f t="shared" si="15"/>
        <v>434508816.12090677</v>
      </c>
      <c r="I77" s="6">
        <f t="shared" si="16"/>
        <v>6722689.0756302522</v>
      </c>
      <c r="J77" s="6">
        <f t="shared" si="17"/>
        <v>6898930.6657468099</v>
      </c>
      <c r="K77" s="6">
        <f t="shared" si="18"/>
        <v>6297229.219143576</v>
      </c>
      <c r="L77" s="6">
        <f t="shared" si="19"/>
        <v>500989797.86513484</v>
      </c>
      <c r="M77" s="6">
        <f t="shared" si="24"/>
        <v>7260721.7081903601</v>
      </c>
      <c r="N77" s="6"/>
      <c r="O77" s="10">
        <f t="shared" si="20"/>
        <v>458.13352609197466</v>
      </c>
      <c r="P77" s="10">
        <f t="shared" si="21"/>
        <v>6.6396163201735465</v>
      </c>
      <c r="Q77" s="10">
        <f t="shared" si="22"/>
        <v>500.98979786513485</v>
      </c>
      <c r="R77" s="10">
        <f t="shared" si="22"/>
        <v>7.2607217081903599</v>
      </c>
      <c r="S77" s="6"/>
    </row>
    <row r="78" spans="1:19" x14ac:dyDescent="0.25">
      <c r="A78">
        <v>70</v>
      </c>
      <c r="B78" s="1">
        <f t="shared" si="23"/>
        <v>7000000000</v>
      </c>
      <c r="C78" s="1">
        <v>29440</v>
      </c>
      <c r="D78" s="1">
        <v>28830</v>
      </c>
      <c r="E78" s="1">
        <v>30310</v>
      </c>
      <c r="F78" s="6">
        <f t="shared" si="13"/>
        <v>475543478.26086956</v>
      </c>
      <c r="G78" s="6">
        <f t="shared" si="14"/>
        <v>485605272.28581339</v>
      </c>
      <c r="H78" s="6">
        <f t="shared" si="15"/>
        <v>461893764.43418014</v>
      </c>
      <c r="I78" s="6">
        <f t="shared" si="16"/>
        <v>6793478.2608695654</v>
      </c>
      <c r="J78" s="6">
        <f t="shared" si="17"/>
        <v>6937218.17551162</v>
      </c>
      <c r="K78" s="6">
        <f t="shared" si="18"/>
        <v>6598482.3490597159</v>
      </c>
      <c r="L78" s="6">
        <f t="shared" si="19"/>
        <v>500989797.86513484</v>
      </c>
      <c r="M78" s="6">
        <f t="shared" si="24"/>
        <v>7156997.1123590693</v>
      </c>
      <c r="N78" s="6"/>
      <c r="O78" s="10">
        <f t="shared" si="20"/>
        <v>474.34750499362104</v>
      </c>
      <c r="P78" s="10">
        <f t="shared" si="21"/>
        <v>6.7763929284803002</v>
      </c>
      <c r="Q78" s="10">
        <f t="shared" si="22"/>
        <v>500.98979786513485</v>
      </c>
      <c r="R78" s="10">
        <f t="shared" si="22"/>
        <v>7.1569971123590692</v>
      </c>
      <c r="S78" s="6"/>
    </row>
    <row r="79" spans="1:19" x14ac:dyDescent="0.25">
      <c r="A79">
        <v>71</v>
      </c>
      <c r="B79" s="1">
        <f t="shared" si="23"/>
        <v>7100000000</v>
      </c>
      <c r="C79" s="1">
        <v>30720</v>
      </c>
      <c r="D79" s="1">
        <v>30460</v>
      </c>
      <c r="E79" s="1">
        <v>30270</v>
      </c>
      <c r="F79" s="6">
        <f t="shared" si="13"/>
        <v>462239583.33333331</v>
      </c>
      <c r="G79" s="6">
        <f t="shared" si="14"/>
        <v>466185160.86671042</v>
      </c>
      <c r="H79" s="6">
        <f t="shared" si="15"/>
        <v>469111331.35117275</v>
      </c>
      <c r="I79" s="6">
        <f t="shared" si="16"/>
        <v>6510416.666666666</v>
      </c>
      <c r="J79" s="6">
        <f t="shared" si="17"/>
        <v>6565988.1812212737</v>
      </c>
      <c r="K79" s="6">
        <f t="shared" si="18"/>
        <v>6607201.8500165176</v>
      </c>
      <c r="L79" s="6">
        <f t="shared" si="19"/>
        <v>500989797.86513484</v>
      </c>
      <c r="M79" s="6">
        <f t="shared" si="24"/>
        <v>7056194.3361286595</v>
      </c>
      <c r="N79" s="6"/>
      <c r="O79" s="10">
        <f t="shared" si="20"/>
        <v>465.84535851707216</v>
      </c>
      <c r="P79" s="10">
        <f t="shared" si="21"/>
        <v>6.5612022326348196</v>
      </c>
      <c r="Q79" s="10">
        <f t="shared" si="22"/>
        <v>500.98979786513485</v>
      </c>
      <c r="R79" s="10">
        <f t="shared" si="22"/>
        <v>7.0561943361286596</v>
      </c>
      <c r="S79" s="6"/>
    </row>
    <row r="80" spans="1:19" x14ac:dyDescent="0.25">
      <c r="A80">
        <v>72</v>
      </c>
      <c r="B80" s="1">
        <f t="shared" si="23"/>
        <v>7200000000</v>
      </c>
      <c r="C80" s="1">
        <v>31140</v>
      </c>
      <c r="D80" s="1">
        <v>31620</v>
      </c>
      <c r="E80" s="1">
        <v>31510</v>
      </c>
      <c r="F80" s="6">
        <f t="shared" si="13"/>
        <v>462427745.66473985</v>
      </c>
      <c r="G80" s="6">
        <f t="shared" si="14"/>
        <v>455407969.63946873</v>
      </c>
      <c r="H80" s="6">
        <f t="shared" si="15"/>
        <v>456997778.48302126</v>
      </c>
      <c r="I80" s="6">
        <f t="shared" si="16"/>
        <v>6422607.5786769427</v>
      </c>
      <c r="J80" s="6">
        <f t="shared" si="17"/>
        <v>6325110.6894370653</v>
      </c>
      <c r="K80" s="6">
        <f t="shared" si="18"/>
        <v>6347191.3678197395</v>
      </c>
      <c r="L80" s="6">
        <f t="shared" si="19"/>
        <v>500989797.86513484</v>
      </c>
      <c r="M80" s="6">
        <f t="shared" si="24"/>
        <v>6958191.6370157618</v>
      </c>
      <c r="N80" s="6"/>
      <c r="O80" s="10">
        <f t="shared" si="20"/>
        <v>458.2778312624099</v>
      </c>
      <c r="P80" s="10">
        <f t="shared" si="21"/>
        <v>6.3649698786445832</v>
      </c>
      <c r="Q80" s="10">
        <f t="shared" si="22"/>
        <v>500.98979786513485</v>
      </c>
      <c r="R80" s="10">
        <f t="shared" si="22"/>
        <v>6.9581916370157622</v>
      </c>
      <c r="S80" s="6"/>
    </row>
    <row r="81" spans="1:19" x14ac:dyDescent="0.25">
      <c r="A81">
        <v>73</v>
      </c>
      <c r="B81" s="1">
        <f t="shared" si="23"/>
        <v>7300000000</v>
      </c>
      <c r="C81" s="1">
        <v>32040</v>
      </c>
      <c r="D81" s="1">
        <v>30840</v>
      </c>
      <c r="E81" s="1">
        <v>31000</v>
      </c>
      <c r="F81" s="6">
        <f t="shared" si="13"/>
        <v>455680399.50062424</v>
      </c>
      <c r="G81" s="6">
        <f t="shared" si="14"/>
        <v>473411154.34500653</v>
      </c>
      <c r="H81" s="6">
        <f t="shared" si="15"/>
        <v>470967741.93548387</v>
      </c>
      <c r="I81" s="6">
        <f t="shared" si="16"/>
        <v>6242197.2534332089</v>
      </c>
      <c r="J81" s="6">
        <f t="shared" si="17"/>
        <v>6485084.3060959801</v>
      </c>
      <c r="K81" s="6">
        <f t="shared" si="18"/>
        <v>6451612.9032258065</v>
      </c>
      <c r="L81" s="6">
        <f t="shared" si="19"/>
        <v>500989797.86513484</v>
      </c>
      <c r="M81" s="6">
        <f t="shared" si="24"/>
        <v>6862873.9433580115</v>
      </c>
      <c r="N81" s="6"/>
      <c r="O81" s="10">
        <f t="shared" si="20"/>
        <v>466.6864319270382</v>
      </c>
      <c r="P81" s="10">
        <f t="shared" si="21"/>
        <v>6.3929648209183316</v>
      </c>
      <c r="Q81" s="10">
        <f t="shared" si="22"/>
        <v>500.98979786513485</v>
      </c>
      <c r="R81" s="10">
        <f t="shared" si="22"/>
        <v>6.8628739433580117</v>
      </c>
      <c r="S81" s="6"/>
    </row>
    <row r="82" spans="1:19" x14ac:dyDescent="0.25">
      <c r="A82">
        <v>74</v>
      </c>
      <c r="B82" s="1">
        <f t="shared" si="23"/>
        <v>7400000000</v>
      </c>
      <c r="C82" s="1">
        <v>32180</v>
      </c>
      <c r="D82" s="1">
        <v>31910</v>
      </c>
      <c r="E82" s="1">
        <v>33480</v>
      </c>
      <c r="F82" s="6">
        <f t="shared" si="13"/>
        <v>459912989.43443131</v>
      </c>
      <c r="G82" s="6">
        <f t="shared" si="14"/>
        <v>463804450.01566905</v>
      </c>
      <c r="H82" s="6">
        <f t="shared" si="15"/>
        <v>442054958.18399042</v>
      </c>
      <c r="I82" s="6">
        <f t="shared" si="16"/>
        <v>6215040.3977625854</v>
      </c>
      <c r="J82" s="6">
        <f t="shared" si="17"/>
        <v>6267627.7029144466</v>
      </c>
      <c r="K82" s="6">
        <f t="shared" si="18"/>
        <v>5973715.651135006</v>
      </c>
      <c r="L82" s="6">
        <f t="shared" si="19"/>
        <v>500989797.86513484</v>
      </c>
      <c r="M82" s="6">
        <f t="shared" si="24"/>
        <v>6770132.4035829036</v>
      </c>
      <c r="N82" s="6"/>
      <c r="O82" s="10">
        <f t="shared" si="20"/>
        <v>455.2574658780303</v>
      </c>
      <c r="P82" s="10">
        <f t="shared" si="21"/>
        <v>6.1521279172706791</v>
      </c>
      <c r="Q82" s="10">
        <f t="shared" si="22"/>
        <v>500.98979786513485</v>
      </c>
      <c r="R82" s="10">
        <f t="shared" si="22"/>
        <v>6.7701324035829034</v>
      </c>
      <c r="S82" s="6"/>
    </row>
    <row r="83" spans="1:19" x14ac:dyDescent="0.25">
      <c r="A83">
        <v>75</v>
      </c>
      <c r="B83" s="1">
        <f t="shared" si="23"/>
        <v>7500000000</v>
      </c>
      <c r="C83" s="1">
        <v>32030</v>
      </c>
      <c r="D83" s="1">
        <v>31200</v>
      </c>
      <c r="E83" s="1">
        <v>32570</v>
      </c>
      <c r="F83" s="6">
        <f t="shared" si="13"/>
        <v>468310958.47642833</v>
      </c>
      <c r="G83" s="6">
        <f t="shared" si="14"/>
        <v>480769230.76923072</v>
      </c>
      <c r="H83" s="6">
        <f t="shared" si="15"/>
        <v>460546515.198035</v>
      </c>
      <c r="I83" s="6">
        <f t="shared" si="16"/>
        <v>6244146.1130190445</v>
      </c>
      <c r="J83" s="6">
        <f t="shared" si="17"/>
        <v>6410256.41025641</v>
      </c>
      <c r="K83" s="6">
        <f t="shared" si="18"/>
        <v>6140620.2026404664</v>
      </c>
      <c r="L83" s="6">
        <f t="shared" si="19"/>
        <v>500989797.86513484</v>
      </c>
      <c r="M83" s="6">
        <f t="shared" si="24"/>
        <v>6679863.9715351313</v>
      </c>
      <c r="N83" s="6"/>
      <c r="O83" s="10">
        <f t="shared" si="20"/>
        <v>469.87556814789804</v>
      </c>
      <c r="P83" s="10">
        <f t="shared" si="21"/>
        <v>6.2650075753053063</v>
      </c>
      <c r="Q83" s="10">
        <f t="shared" si="22"/>
        <v>500.98979786513485</v>
      </c>
      <c r="R83" s="10">
        <f t="shared" si="22"/>
        <v>6.6798639715351316</v>
      </c>
      <c r="S83" s="6"/>
    </row>
    <row r="84" spans="1:19" x14ac:dyDescent="0.25">
      <c r="A84">
        <v>76</v>
      </c>
      <c r="B84" s="1">
        <f t="shared" si="23"/>
        <v>7600000000</v>
      </c>
      <c r="C84" s="1">
        <v>32210</v>
      </c>
      <c r="D84" s="1">
        <v>32490</v>
      </c>
      <c r="E84" s="1">
        <v>32640</v>
      </c>
      <c r="F84" s="6">
        <f t="shared" si="13"/>
        <v>471903135.67215151</v>
      </c>
      <c r="G84" s="6">
        <f t="shared" si="14"/>
        <v>467836257.30994153</v>
      </c>
      <c r="H84" s="6">
        <f t="shared" si="15"/>
        <v>465686274.50980389</v>
      </c>
      <c r="I84" s="6">
        <f t="shared" si="16"/>
        <v>6209251.7851598887</v>
      </c>
      <c r="J84" s="6">
        <f t="shared" si="17"/>
        <v>6155740.227762389</v>
      </c>
      <c r="K84" s="6">
        <f t="shared" si="18"/>
        <v>6127450.9803921562</v>
      </c>
      <c r="L84" s="6">
        <f t="shared" si="19"/>
        <v>500989797.86513484</v>
      </c>
      <c r="M84" s="6">
        <f t="shared" si="24"/>
        <v>6591971.0245412476</v>
      </c>
      <c r="N84" s="6"/>
      <c r="O84" s="10">
        <f t="shared" si="20"/>
        <v>468.475222497299</v>
      </c>
      <c r="P84" s="10">
        <f t="shared" si="21"/>
        <v>6.1641476644381443</v>
      </c>
      <c r="Q84" s="10">
        <f t="shared" si="22"/>
        <v>500.98979786513485</v>
      </c>
      <c r="R84" s="10">
        <f t="shared" si="22"/>
        <v>6.5919710245412473</v>
      </c>
      <c r="S84" s="6"/>
    </row>
    <row r="85" spans="1:19" x14ac:dyDescent="0.25">
      <c r="A85">
        <v>77</v>
      </c>
      <c r="B85" s="1">
        <f t="shared" si="23"/>
        <v>7700000000</v>
      </c>
      <c r="C85" s="1">
        <v>32750</v>
      </c>
      <c r="D85" s="1">
        <v>33500</v>
      </c>
      <c r="E85" s="1">
        <v>32350</v>
      </c>
      <c r="F85" s="6">
        <f t="shared" si="13"/>
        <v>470229007.63358784</v>
      </c>
      <c r="G85" s="6">
        <f t="shared" si="14"/>
        <v>459701492.53731346</v>
      </c>
      <c r="H85" s="6">
        <f t="shared" si="15"/>
        <v>476043276.6615147</v>
      </c>
      <c r="I85" s="6">
        <f t="shared" si="16"/>
        <v>6106870.2290076343</v>
      </c>
      <c r="J85" s="6">
        <f t="shared" si="17"/>
        <v>5970149.2537313439</v>
      </c>
      <c r="K85" s="6">
        <f t="shared" si="18"/>
        <v>6182380.2163833082</v>
      </c>
      <c r="L85" s="6">
        <f t="shared" si="19"/>
        <v>500989797.86513484</v>
      </c>
      <c r="M85" s="6">
        <f t="shared" si="24"/>
        <v>6506361.0112355174</v>
      </c>
      <c r="N85" s="6"/>
      <c r="O85" s="10">
        <f t="shared" si="20"/>
        <v>468.65792561080531</v>
      </c>
      <c r="P85" s="10">
        <f t="shared" si="21"/>
        <v>6.0864665663740958</v>
      </c>
      <c r="Q85" s="10">
        <f t="shared" si="22"/>
        <v>500.98979786513485</v>
      </c>
      <c r="R85" s="10">
        <f t="shared" si="22"/>
        <v>6.5063610112355175</v>
      </c>
      <c r="S85" s="6"/>
    </row>
    <row r="86" spans="1:19" x14ac:dyDescent="0.25">
      <c r="A86">
        <v>78</v>
      </c>
      <c r="B86" s="1">
        <f t="shared" si="23"/>
        <v>7800000000</v>
      </c>
      <c r="C86" s="1">
        <v>32750</v>
      </c>
      <c r="D86" s="1">
        <v>32800</v>
      </c>
      <c r="E86" s="1">
        <v>34510</v>
      </c>
      <c r="F86" s="6">
        <f t="shared" si="13"/>
        <v>476335877.86259544</v>
      </c>
      <c r="G86" s="6">
        <f t="shared" si="14"/>
        <v>475609756.097561</v>
      </c>
      <c r="H86" s="6">
        <f t="shared" si="15"/>
        <v>452042886.11996526</v>
      </c>
      <c r="I86" s="6">
        <f t="shared" si="16"/>
        <v>6106870.2290076334</v>
      </c>
      <c r="J86" s="6">
        <f t="shared" si="17"/>
        <v>6097560.9756097561</v>
      </c>
      <c r="K86" s="6">
        <f t="shared" si="18"/>
        <v>5795421.6169226319</v>
      </c>
      <c r="L86" s="6">
        <f t="shared" si="19"/>
        <v>500989797.86513484</v>
      </c>
      <c r="M86" s="6">
        <f t="shared" si="24"/>
        <v>6422946.1264760876</v>
      </c>
      <c r="N86" s="6"/>
      <c r="O86" s="10">
        <f t="shared" si="20"/>
        <v>467.99617336004059</v>
      </c>
      <c r="P86" s="10">
        <f t="shared" si="21"/>
        <v>5.9999509405133402</v>
      </c>
      <c r="Q86" s="10">
        <f t="shared" si="22"/>
        <v>500.98979786513485</v>
      </c>
      <c r="R86" s="10">
        <f t="shared" si="22"/>
        <v>6.4229461264760879</v>
      </c>
      <c r="S86" s="6"/>
    </row>
    <row r="87" spans="1:19" x14ac:dyDescent="0.25">
      <c r="A87">
        <v>79</v>
      </c>
      <c r="B87" s="1">
        <f t="shared" si="23"/>
        <v>7900000000</v>
      </c>
      <c r="C87" s="1">
        <v>33950</v>
      </c>
      <c r="D87" s="1">
        <v>34440</v>
      </c>
      <c r="E87" s="1">
        <v>33620</v>
      </c>
      <c r="F87" s="6">
        <f t="shared" si="13"/>
        <v>465390279.82326955</v>
      </c>
      <c r="G87" s="6">
        <f t="shared" si="14"/>
        <v>458768873.40301973</v>
      </c>
      <c r="H87" s="6">
        <f t="shared" si="15"/>
        <v>469958358.1201666</v>
      </c>
      <c r="I87" s="6">
        <f t="shared" si="16"/>
        <v>5891016.2002945514</v>
      </c>
      <c r="J87" s="6">
        <f t="shared" si="17"/>
        <v>5807200.9291521488</v>
      </c>
      <c r="K87" s="6">
        <f t="shared" si="18"/>
        <v>5948839.9762046402</v>
      </c>
      <c r="L87" s="6">
        <f t="shared" si="19"/>
        <v>500989797.86513484</v>
      </c>
      <c r="M87" s="6">
        <f t="shared" si="24"/>
        <v>6341643.0109510738</v>
      </c>
      <c r="N87" s="6"/>
      <c r="O87" s="10">
        <f t="shared" si="20"/>
        <v>464.70583711548522</v>
      </c>
      <c r="P87" s="10">
        <f t="shared" si="21"/>
        <v>5.8823523685504471</v>
      </c>
      <c r="Q87" s="10">
        <f t="shared" si="22"/>
        <v>500.98979786513485</v>
      </c>
      <c r="R87" s="10">
        <f t="shared" si="22"/>
        <v>6.3416430109510742</v>
      </c>
      <c r="S87" s="6"/>
    </row>
    <row r="88" spans="1:19" x14ac:dyDescent="0.25">
      <c r="A88">
        <v>80</v>
      </c>
      <c r="B88" s="1">
        <f t="shared" si="23"/>
        <v>8000000000</v>
      </c>
      <c r="C88" s="1">
        <v>34330</v>
      </c>
      <c r="D88" s="1">
        <v>33840</v>
      </c>
      <c r="E88" s="1">
        <v>35430</v>
      </c>
      <c r="F88" s="6">
        <f t="shared" si="13"/>
        <v>466064666.47247308</v>
      </c>
      <c r="G88" s="6">
        <f t="shared" si="14"/>
        <v>472813238.77068555</v>
      </c>
      <c r="H88" s="6">
        <f t="shared" si="15"/>
        <v>451594693.76234829</v>
      </c>
      <c r="I88" s="6">
        <f t="shared" si="16"/>
        <v>5825808.3309059134</v>
      </c>
      <c r="J88" s="6">
        <f t="shared" si="17"/>
        <v>5910165.4846335696</v>
      </c>
      <c r="K88" s="6">
        <f t="shared" si="18"/>
        <v>5644933.6720293537</v>
      </c>
      <c r="L88" s="6">
        <f t="shared" si="19"/>
        <v>500989797.86513484</v>
      </c>
      <c r="M88" s="6">
        <f t="shared" si="24"/>
        <v>6262372.4733141856</v>
      </c>
      <c r="N88" s="6"/>
      <c r="O88" s="10">
        <f t="shared" si="20"/>
        <v>463.49086633516902</v>
      </c>
      <c r="P88" s="10">
        <f t="shared" si="21"/>
        <v>5.7936358291896122</v>
      </c>
      <c r="Q88" s="10">
        <f t="shared" si="22"/>
        <v>500.98979786513485</v>
      </c>
      <c r="R88" s="10">
        <f t="shared" si="22"/>
        <v>6.2623724733141852</v>
      </c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7A3D-5E63-45BC-92F5-D364AF25633F}">
  <dimension ref="A1:U88"/>
  <sheetViews>
    <sheetView topLeftCell="K1" zoomScaleNormal="100" workbookViewId="0">
      <selection sqref="A1:M1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22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19940</v>
      </c>
      <c r="D9" s="1">
        <v>17100</v>
      </c>
      <c r="E9" s="1">
        <v>17530</v>
      </c>
      <c r="F9" s="6">
        <f>B9*2/C9*1000</f>
        <v>10030090.270812437</v>
      </c>
      <c r="G9" s="6">
        <f>B9*2/D9*1000</f>
        <v>11695906.432748538</v>
      </c>
      <c r="H9" s="6">
        <f>B9*2/E9*1000</f>
        <v>11409013.120365089</v>
      </c>
      <c r="I9" s="6">
        <f>F9/A9</f>
        <v>10030090.270812437</v>
      </c>
      <c r="J9" s="6">
        <f>G9/A9</f>
        <v>11695906.432748538</v>
      </c>
      <c r="K9" s="6">
        <f>H9/A9</f>
        <v>11409013.120365089</v>
      </c>
      <c r="L9" s="6">
        <f>(F9+G9+H9)/3</f>
        <v>11045003.27464202</v>
      </c>
      <c r="M9" s="6">
        <f>L9/A9</f>
        <v>11045003.27464202</v>
      </c>
      <c r="N9" s="6"/>
      <c r="O9" s="10">
        <f>(F9+G9+H9)/3/1000000</f>
        <v>11.045003274642021</v>
      </c>
      <c r="P9" s="10">
        <f>(I9+J9+K9)/3/1000000</f>
        <v>11.045003274642021</v>
      </c>
      <c r="Q9" s="10">
        <f>L9/1000000</f>
        <v>11.045003274642021</v>
      </c>
      <c r="R9" s="10">
        <f>M9/1000000</f>
        <v>11.045003274642021</v>
      </c>
      <c r="S9" s="6"/>
    </row>
    <row r="10" spans="1:19" x14ac:dyDescent="0.25">
      <c r="A10">
        <v>2</v>
      </c>
      <c r="B10" s="1">
        <f>$B$9*A10</f>
        <v>200000000</v>
      </c>
      <c r="C10" s="1">
        <v>17650</v>
      </c>
      <c r="D10" s="1">
        <v>17550</v>
      </c>
      <c r="E10" s="1">
        <v>17530</v>
      </c>
      <c r="F10" s="6">
        <f t="shared" ref="F10:F73" si="0">B10*2/C10*1000</f>
        <v>22662889.5184136</v>
      </c>
      <c r="G10" s="6">
        <f t="shared" ref="G10:G73" si="1">B10*2/D10*1000</f>
        <v>22792022.792022791</v>
      </c>
      <c r="H10" s="6">
        <f t="shared" ref="H10:H73" si="2">B10*2/E10*1000</f>
        <v>22818026.240730178</v>
      </c>
      <c r="I10" s="6">
        <f t="shared" ref="I10:I73" si="3">F10/A10</f>
        <v>11331444.7592068</v>
      </c>
      <c r="J10" s="6">
        <f t="shared" ref="J10:J73" si="4">G10/A10</f>
        <v>11396011.396011395</v>
      </c>
      <c r="K10" s="6">
        <f t="shared" ref="K10:K73" si="5">H10/A10</f>
        <v>11409013.120365089</v>
      </c>
      <c r="L10" s="6">
        <f t="shared" ref="L10:L40" si="6">$L$9*A10</f>
        <v>22090006.549284041</v>
      </c>
      <c r="M10" s="6">
        <f t="shared" ref="M10:M74" si="7">L10/A10</f>
        <v>11045003.27464202</v>
      </c>
      <c r="N10" s="6"/>
      <c r="O10" s="10">
        <f t="shared" ref="O10:O73" si="8">(F10+G10+H10)/3/1000000</f>
        <v>22.757646183722187</v>
      </c>
      <c r="P10" s="10">
        <f t="shared" ref="P10:P73" si="9">(I10+J10+K10)/3/1000000</f>
        <v>11.378823091861094</v>
      </c>
      <c r="Q10" s="10">
        <f t="shared" ref="Q10:R73" si="10">L10/1000000</f>
        <v>22.090006549284041</v>
      </c>
      <c r="R10" s="10">
        <f t="shared" si="10"/>
        <v>11.045003274642021</v>
      </c>
      <c r="S10" s="6"/>
    </row>
    <row r="11" spans="1:19" x14ac:dyDescent="0.25">
      <c r="A11">
        <v>3</v>
      </c>
      <c r="B11" s="1">
        <f t="shared" ref="B11:B74" si="11">$B$9*A11</f>
        <v>300000000</v>
      </c>
      <c r="C11" s="1">
        <v>17500</v>
      </c>
      <c r="D11" s="1">
        <v>17640</v>
      </c>
      <c r="E11" s="1">
        <v>17710</v>
      </c>
      <c r="F11" s="6">
        <f t="shared" si="0"/>
        <v>34285714.285714284</v>
      </c>
      <c r="G11" s="6">
        <f t="shared" si="1"/>
        <v>34013605.442176871</v>
      </c>
      <c r="H11" s="6">
        <f t="shared" si="2"/>
        <v>33879164.313946925</v>
      </c>
      <c r="I11" s="6">
        <f t="shared" si="3"/>
        <v>11428571.428571427</v>
      </c>
      <c r="J11" s="6">
        <f t="shared" si="4"/>
        <v>11337868.480725624</v>
      </c>
      <c r="K11" s="6">
        <f t="shared" si="5"/>
        <v>11293054.771315642</v>
      </c>
      <c r="L11" s="6">
        <f t="shared" si="6"/>
        <v>33135009.823926061</v>
      </c>
      <c r="M11" s="6">
        <f t="shared" si="7"/>
        <v>11045003.27464202</v>
      </c>
      <c r="N11" s="6"/>
      <c r="O11" s="10">
        <f t="shared" si="8"/>
        <v>34.059494680612694</v>
      </c>
      <c r="P11" s="10">
        <f t="shared" si="9"/>
        <v>11.353164893537564</v>
      </c>
      <c r="Q11" s="10">
        <f t="shared" si="10"/>
        <v>33.135009823926062</v>
      </c>
      <c r="R11" s="10">
        <f t="shared" si="10"/>
        <v>11.045003274642021</v>
      </c>
      <c r="S11" s="6"/>
    </row>
    <row r="12" spans="1:19" x14ac:dyDescent="0.25">
      <c r="A12">
        <v>4</v>
      </c>
      <c r="B12" s="1">
        <f t="shared" si="11"/>
        <v>400000000</v>
      </c>
      <c r="C12" s="1">
        <v>17650</v>
      </c>
      <c r="D12" s="1">
        <v>17410</v>
      </c>
      <c r="E12" s="1">
        <v>18130</v>
      </c>
      <c r="F12" s="6">
        <f t="shared" si="0"/>
        <v>45325779.036827199</v>
      </c>
      <c r="G12" s="6">
        <f t="shared" si="1"/>
        <v>45950603.101665705</v>
      </c>
      <c r="H12" s="6">
        <f t="shared" si="2"/>
        <v>44125758.411472701</v>
      </c>
      <c r="I12" s="6">
        <f t="shared" si="3"/>
        <v>11331444.7592068</v>
      </c>
      <c r="J12" s="6">
        <f t="shared" si="4"/>
        <v>11487650.775416426</v>
      </c>
      <c r="K12" s="6">
        <f t="shared" si="5"/>
        <v>11031439.602868175</v>
      </c>
      <c r="L12" s="6">
        <f t="shared" si="6"/>
        <v>44180013.098568082</v>
      </c>
      <c r="M12" s="6">
        <f t="shared" si="7"/>
        <v>11045003.27464202</v>
      </c>
      <c r="N12" s="6"/>
      <c r="O12" s="10">
        <f t="shared" si="8"/>
        <v>45.134046849988543</v>
      </c>
      <c r="P12" s="10">
        <f t="shared" si="9"/>
        <v>11.283511712497136</v>
      </c>
      <c r="Q12" s="10">
        <f t="shared" si="10"/>
        <v>44.180013098568082</v>
      </c>
      <c r="R12" s="10">
        <f t="shared" si="10"/>
        <v>11.045003274642021</v>
      </c>
      <c r="S12" s="6"/>
    </row>
    <row r="13" spans="1:19" x14ac:dyDescent="0.25">
      <c r="A13">
        <v>5</v>
      </c>
      <c r="B13" s="1">
        <f t="shared" si="11"/>
        <v>500000000</v>
      </c>
      <c r="C13" s="1">
        <v>17540</v>
      </c>
      <c r="D13" s="1">
        <v>17840</v>
      </c>
      <c r="E13" s="1">
        <v>17410</v>
      </c>
      <c r="F13" s="6">
        <f t="shared" si="0"/>
        <v>57012542.759407073</v>
      </c>
      <c r="G13" s="6">
        <f t="shared" si="1"/>
        <v>56053811.659192823</v>
      </c>
      <c r="H13" s="6">
        <f t="shared" si="2"/>
        <v>57438253.877082132</v>
      </c>
      <c r="I13" s="6">
        <f t="shared" si="3"/>
        <v>11402508.551881414</v>
      </c>
      <c r="J13" s="6">
        <f t="shared" si="4"/>
        <v>11210762.331838565</v>
      </c>
      <c r="K13" s="6">
        <f t="shared" si="5"/>
        <v>11487650.775416426</v>
      </c>
      <c r="L13" s="6">
        <f t="shared" si="6"/>
        <v>55225016.373210102</v>
      </c>
      <c r="M13" s="6">
        <f t="shared" si="7"/>
        <v>11045003.27464202</v>
      </c>
      <c r="N13" s="6"/>
      <c r="O13" s="10">
        <f t="shared" si="8"/>
        <v>56.834869431894013</v>
      </c>
      <c r="P13" s="10">
        <f t="shared" si="9"/>
        <v>11.366973886378803</v>
      </c>
      <c r="Q13" s="10">
        <f t="shared" si="10"/>
        <v>55.225016373210103</v>
      </c>
      <c r="R13" s="10">
        <f t="shared" si="10"/>
        <v>11.045003274642021</v>
      </c>
      <c r="S13" s="6"/>
    </row>
    <row r="14" spans="1:19" x14ac:dyDescent="0.25">
      <c r="A14">
        <v>6</v>
      </c>
      <c r="B14" s="1">
        <f t="shared" si="11"/>
        <v>600000000</v>
      </c>
      <c r="C14" s="1">
        <v>17580</v>
      </c>
      <c r="D14" s="1">
        <v>17580</v>
      </c>
      <c r="E14" s="1">
        <v>17580</v>
      </c>
      <c r="F14" s="6">
        <f t="shared" si="0"/>
        <v>68259385.665529013</v>
      </c>
      <c r="G14" s="6">
        <f t="shared" si="1"/>
        <v>68259385.665529013</v>
      </c>
      <c r="H14" s="6">
        <f t="shared" si="2"/>
        <v>68259385.665529013</v>
      </c>
      <c r="I14" s="6">
        <f t="shared" si="3"/>
        <v>11376564.277588168</v>
      </c>
      <c r="J14" s="6">
        <f t="shared" si="4"/>
        <v>11376564.277588168</v>
      </c>
      <c r="K14" s="6">
        <f t="shared" si="5"/>
        <v>11376564.277588168</v>
      </c>
      <c r="L14" s="6">
        <f t="shared" si="6"/>
        <v>66270019.647852123</v>
      </c>
      <c r="M14" s="6">
        <f t="shared" si="7"/>
        <v>11045003.27464202</v>
      </c>
      <c r="N14" s="6"/>
      <c r="O14" s="10">
        <f t="shared" si="8"/>
        <v>68.25938566552901</v>
      </c>
      <c r="P14" s="10">
        <f t="shared" si="9"/>
        <v>11.376564277588168</v>
      </c>
      <c r="Q14" s="10">
        <f t="shared" si="10"/>
        <v>66.270019647852124</v>
      </c>
      <c r="R14" s="10">
        <f t="shared" si="10"/>
        <v>11.045003274642021</v>
      </c>
      <c r="S14" s="6"/>
    </row>
    <row r="15" spans="1:19" x14ac:dyDescent="0.25">
      <c r="A15">
        <v>7</v>
      </c>
      <c r="B15" s="1">
        <f t="shared" si="11"/>
        <v>700000000</v>
      </c>
      <c r="C15" s="1">
        <v>17750</v>
      </c>
      <c r="D15" s="1">
        <v>17880</v>
      </c>
      <c r="E15" s="1">
        <v>18180</v>
      </c>
      <c r="F15" s="6">
        <f t="shared" si="0"/>
        <v>78873239.436619714</v>
      </c>
      <c r="G15" s="6">
        <f t="shared" si="1"/>
        <v>78299776.286353469</v>
      </c>
      <c r="H15" s="6">
        <f t="shared" si="2"/>
        <v>77007700.770077005</v>
      </c>
      <c r="I15" s="6">
        <f t="shared" si="3"/>
        <v>11267605.633802816</v>
      </c>
      <c r="J15" s="6">
        <f t="shared" si="4"/>
        <v>11185682.326621924</v>
      </c>
      <c r="K15" s="6">
        <f t="shared" si="5"/>
        <v>11001100.110011</v>
      </c>
      <c r="L15" s="6">
        <f t="shared" si="6"/>
        <v>77315022.922494143</v>
      </c>
      <c r="M15" s="6">
        <f t="shared" si="7"/>
        <v>11045003.27464202</v>
      </c>
      <c r="N15" s="6"/>
      <c r="O15" s="10">
        <f t="shared" si="8"/>
        <v>78.060238831016719</v>
      </c>
      <c r="P15" s="10">
        <f t="shared" si="9"/>
        <v>11.151462690145246</v>
      </c>
      <c r="Q15" s="10">
        <f t="shared" si="10"/>
        <v>77.315022922494137</v>
      </c>
      <c r="R15" s="10">
        <f t="shared" si="10"/>
        <v>11.045003274642021</v>
      </c>
      <c r="S15" s="6"/>
    </row>
    <row r="16" spans="1:19" x14ac:dyDescent="0.25">
      <c r="A16">
        <v>8</v>
      </c>
      <c r="B16" s="1">
        <f t="shared" si="11"/>
        <v>800000000</v>
      </c>
      <c r="C16" s="1">
        <v>17710</v>
      </c>
      <c r="D16" s="1">
        <v>17880</v>
      </c>
      <c r="E16" s="1">
        <v>17450</v>
      </c>
      <c r="F16" s="6">
        <f t="shared" si="0"/>
        <v>90344438.170525134</v>
      </c>
      <c r="G16" s="6">
        <f t="shared" si="1"/>
        <v>89485458.612975389</v>
      </c>
      <c r="H16" s="6">
        <f t="shared" si="2"/>
        <v>91690544.412607446</v>
      </c>
      <c r="I16" s="6">
        <f t="shared" si="3"/>
        <v>11293054.771315642</v>
      </c>
      <c r="J16" s="6">
        <f t="shared" si="4"/>
        <v>11185682.326621924</v>
      </c>
      <c r="K16" s="6">
        <f t="shared" si="5"/>
        <v>11461318.051575931</v>
      </c>
      <c r="L16" s="6">
        <f t="shared" si="6"/>
        <v>88360026.197136164</v>
      </c>
      <c r="M16" s="6">
        <f t="shared" si="7"/>
        <v>11045003.27464202</v>
      </c>
      <c r="N16" s="6"/>
      <c r="O16" s="10">
        <f t="shared" si="8"/>
        <v>90.506813732035994</v>
      </c>
      <c r="P16" s="10">
        <f t="shared" si="9"/>
        <v>11.313351716504499</v>
      </c>
      <c r="Q16" s="10">
        <f t="shared" si="10"/>
        <v>88.360026197136165</v>
      </c>
      <c r="R16" s="10">
        <f t="shared" si="10"/>
        <v>11.045003274642021</v>
      </c>
      <c r="S16" s="6"/>
    </row>
    <row r="17" spans="1:19" x14ac:dyDescent="0.25">
      <c r="A17">
        <v>9</v>
      </c>
      <c r="B17" s="1">
        <f t="shared" si="11"/>
        <v>900000000</v>
      </c>
      <c r="C17" s="1">
        <v>17680</v>
      </c>
      <c r="D17" s="1">
        <v>17660</v>
      </c>
      <c r="E17" s="1">
        <v>17600</v>
      </c>
      <c r="F17" s="6">
        <f t="shared" si="0"/>
        <v>101809954.75113122</v>
      </c>
      <c r="G17" s="6">
        <f t="shared" si="1"/>
        <v>101925254.81313702</v>
      </c>
      <c r="H17" s="6">
        <f t="shared" si="2"/>
        <v>102272727.27272728</v>
      </c>
      <c r="I17" s="6">
        <f t="shared" si="3"/>
        <v>11312217.194570135</v>
      </c>
      <c r="J17" s="6">
        <f t="shared" si="4"/>
        <v>11325028.312570781</v>
      </c>
      <c r="K17" s="6">
        <f t="shared" si="5"/>
        <v>11363636.363636365</v>
      </c>
      <c r="L17" s="6">
        <f t="shared" si="6"/>
        <v>99405029.471778184</v>
      </c>
      <c r="M17" s="6">
        <f t="shared" si="7"/>
        <v>11045003.27464202</v>
      </c>
      <c r="N17" s="6"/>
      <c r="O17" s="10">
        <f t="shared" si="8"/>
        <v>102.00264561233182</v>
      </c>
      <c r="P17" s="10">
        <f t="shared" si="9"/>
        <v>11.333627290259093</v>
      </c>
      <c r="Q17" s="10">
        <f t="shared" si="10"/>
        <v>99.405029471778178</v>
      </c>
      <c r="R17" s="10">
        <f t="shared" si="10"/>
        <v>11.045003274642021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17450</v>
      </c>
      <c r="D18" s="1">
        <v>17660</v>
      </c>
      <c r="E18" s="1">
        <v>18090</v>
      </c>
      <c r="F18" s="6">
        <f t="shared" si="0"/>
        <v>114613180.51575932</v>
      </c>
      <c r="G18" s="6">
        <f t="shared" si="1"/>
        <v>113250283.12570782</v>
      </c>
      <c r="H18" s="6">
        <f t="shared" si="2"/>
        <v>110558319.5135434</v>
      </c>
      <c r="I18" s="6">
        <f t="shared" si="3"/>
        <v>11461318.051575933</v>
      </c>
      <c r="J18" s="6">
        <f t="shared" si="4"/>
        <v>11325028.312570782</v>
      </c>
      <c r="K18" s="6">
        <f t="shared" si="5"/>
        <v>11055831.95135434</v>
      </c>
      <c r="L18" s="6">
        <f t="shared" si="6"/>
        <v>110450032.7464202</v>
      </c>
      <c r="M18" s="6">
        <f t="shared" si="7"/>
        <v>11045003.27464202</v>
      </c>
      <c r="N18" s="6"/>
      <c r="O18" s="10">
        <f t="shared" si="8"/>
        <v>112.8072610516702</v>
      </c>
      <c r="P18" s="10">
        <f t="shared" si="9"/>
        <v>11.280726105167018</v>
      </c>
      <c r="Q18" s="10">
        <f t="shared" si="10"/>
        <v>110.45003274642021</v>
      </c>
      <c r="R18" s="10">
        <f t="shared" si="10"/>
        <v>11.045003274642021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18040</v>
      </c>
      <c r="D19" s="1">
        <v>17490</v>
      </c>
      <c r="E19" s="1">
        <v>17730</v>
      </c>
      <c r="F19" s="6">
        <f t="shared" si="0"/>
        <v>121951219.51219513</v>
      </c>
      <c r="G19" s="6">
        <f t="shared" si="1"/>
        <v>125786163.52201258</v>
      </c>
      <c r="H19" s="6">
        <f t="shared" si="2"/>
        <v>124083474.33728144</v>
      </c>
      <c r="I19" s="6">
        <f t="shared" si="3"/>
        <v>11086474.501108648</v>
      </c>
      <c r="J19" s="6">
        <f t="shared" si="4"/>
        <v>11435105.774728416</v>
      </c>
      <c r="K19" s="6">
        <f t="shared" si="5"/>
        <v>11280315.848843766</v>
      </c>
      <c r="L19" s="6">
        <f t="shared" si="6"/>
        <v>121495036.02106223</v>
      </c>
      <c r="M19" s="6">
        <f t="shared" si="7"/>
        <v>11045003.27464202</v>
      </c>
      <c r="N19" s="6"/>
      <c r="O19" s="10">
        <f t="shared" si="8"/>
        <v>123.94028579049639</v>
      </c>
      <c r="P19" s="10">
        <f t="shared" si="9"/>
        <v>11.267298708226944</v>
      </c>
      <c r="Q19" s="10">
        <f t="shared" si="10"/>
        <v>121.49503602106222</v>
      </c>
      <c r="R19" s="10">
        <f t="shared" si="10"/>
        <v>11.045003274642021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17790</v>
      </c>
      <c r="D20" s="1">
        <v>17600</v>
      </c>
      <c r="E20" s="1">
        <v>17820</v>
      </c>
      <c r="F20" s="6">
        <f t="shared" si="0"/>
        <v>134907251.26475546</v>
      </c>
      <c r="G20" s="6">
        <f t="shared" si="1"/>
        <v>136363636.36363634</v>
      </c>
      <c r="H20" s="6">
        <f t="shared" si="2"/>
        <v>134680134.68013468</v>
      </c>
      <c r="I20" s="6">
        <f t="shared" si="3"/>
        <v>11242270.938729621</v>
      </c>
      <c r="J20" s="6">
        <f t="shared" si="4"/>
        <v>11363636.363636361</v>
      </c>
      <c r="K20" s="6">
        <f t="shared" si="5"/>
        <v>11223344.556677891</v>
      </c>
      <c r="L20" s="6">
        <f t="shared" si="6"/>
        <v>132540039.29570425</v>
      </c>
      <c r="M20" s="6">
        <f t="shared" si="7"/>
        <v>11045003.27464202</v>
      </c>
      <c r="N20" s="6"/>
      <c r="O20" s="10">
        <f t="shared" si="8"/>
        <v>135.31700743617549</v>
      </c>
      <c r="P20" s="10">
        <f t="shared" si="9"/>
        <v>11.276417286347957</v>
      </c>
      <c r="Q20" s="10">
        <f t="shared" si="10"/>
        <v>132.54003929570425</v>
      </c>
      <c r="R20" s="10">
        <f t="shared" si="10"/>
        <v>11.045003274642021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18440</v>
      </c>
      <c r="D21" s="1">
        <v>18100</v>
      </c>
      <c r="E21" s="1">
        <v>17920</v>
      </c>
      <c r="F21" s="6">
        <f t="shared" si="0"/>
        <v>140997830.80260304</v>
      </c>
      <c r="G21" s="6">
        <f t="shared" si="1"/>
        <v>143646408.83977899</v>
      </c>
      <c r="H21" s="6">
        <f t="shared" si="2"/>
        <v>145089285.7142857</v>
      </c>
      <c r="I21" s="6">
        <f t="shared" si="3"/>
        <v>10845986.984815618</v>
      </c>
      <c r="J21" s="6">
        <f t="shared" si="4"/>
        <v>11049723.756906075</v>
      </c>
      <c r="K21" s="6">
        <f t="shared" si="5"/>
        <v>11160714.285714285</v>
      </c>
      <c r="L21" s="6">
        <f t="shared" si="6"/>
        <v>143585042.57034627</v>
      </c>
      <c r="M21" s="6">
        <f t="shared" si="7"/>
        <v>11045003.27464202</v>
      </c>
      <c r="N21" s="6"/>
      <c r="O21" s="10">
        <f t="shared" si="8"/>
        <v>143.24450845222259</v>
      </c>
      <c r="P21" s="10">
        <f t="shared" si="9"/>
        <v>11.01880834247866</v>
      </c>
      <c r="Q21" s="10">
        <f t="shared" si="10"/>
        <v>143.58504257034627</v>
      </c>
      <c r="R21" s="10">
        <f t="shared" si="10"/>
        <v>11.045003274642021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17780</v>
      </c>
      <c r="D22" s="1">
        <v>17760</v>
      </c>
      <c r="E22" s="1">
        <v>17680</v>
      </c>
      <c r="F22" s="6">
        <f t="shared" si="0"/>
        <v>157480314.96062991</v>
      </c>
      <c r="G22" s="6">
        <f t="shared" si="1"/>
        <v>157657657.65765765</v>
      </c>
      <c r="H22" s="6">
        <f t="shared" si="2"/>
        <v>158371040.72398189</v>
      </c>
      <c r="I22" s="6">
        <f t="shared" si="3"/>
        <v>11248593.92575928</v>
      </c>
      <c r="J22" s="6">
        <f t="shared" si="4"/>
        <v>11261261.26126126</v>
      </c>
      <c r="K22" s="6">
        <f t="shared" si="5"/>
        <v>11312217.194570135</v>
      </c>
      <c r="L22" s="6">
        <f t="shared" si="6"/>
        <v>154630045.84498829</v>
      </c>
      <c r="M22" s="6">
        <f t="shared" si="7"/>
        <v>11045003.27464202</v>
      </c>
      <c r="N22" s="6"/>
      <c r="O22" s="10">
        <f t="shared" si="8"/>
        <v>157.83633778075648</v>
      </c>
      <c r="P22" s="10">
        <f t="shared" si="9"/>
        <v>11.274024127196894</v>
      </c>
      <c r="Q22" s="10">
        <f t="shared" si="10"/>
        <v>154.63004584498827</v>
      </c>
      <c r="R22" s="10">
        <f t="shared" si="10"/>
        <v>11.045003274642021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17740</v>
      </c>
      <c r="D23" s="1">
        <v>17820</v>
      </c>
      <c r="E23" s="1">
        <v>18140</v>
      </c>
      <c r="F23" s="6">
        <f t="shared" si="0"/>
        <v>169109357.38444194</v>
      </c>
      <c r="G23" s="6">
        <f t="shared" si="1"/>
        <v>168350168.35016835</v>
      </c>
      <c r="H23" s="6">
        <f t="shared" si="2"/>
        <v>165380374.86218303</v>
      </c>
      <c r="I23" s="6">
        <f t="shared" si="3"/>
        <v>11273957.158962796</v>
      </c>
      <c r="J23" s="6">
        <f t="shared" si="4"/>
        <v>11223344.556677889</v>
      </c>
      <c r="K23" s="6">
        <f t="shared" si="5"/>
        <v>11025358.324145535</v>
      </c>
      <c r="L23" s="6">
        <f t="shared" si="6"/>
        <v>165675049.11963031</v>
      </c>
      <c r="M23" s="6">
        <f t="shared" si="7"/>
        <v>11045003.27464202</v>
      </c>
      <c r="N23" s="6"/>
      <c r="O23" s="10">
        <f t="shared" si="8"/>
        <v>167.61330019893111</v>
      </c>
      <c r="P23" s="10">
        <f t="shared" si="9"/>
        <v>11.174220013262072</v>
      </c>
      <c r="Q23" s="10">
        <f t="shared" si="10"/>
        <v>165.6750491196303</v>
      </c>
      <c r="R23" s="10">
        <f t="shared" si="10"/>
        <v>11.045003274642021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17570</v>
      </c>
      <c r="D24" s="1">
        <v>17800</v>
      </c>
      <c r="E24" s="1">
        <v>17760</v>
      </c>
      <c r="F24" s="6">
        <f t="shared" si="0"/>
        <v>182128628.34376779</v>
      </c>
      <c r="G24" s="6">
        <f t="shared" si="1"/>
        <v>179775280.8988764</v>
      </c>
      <c r="H24" s="6">
        <f t="shared" si="2"/>
        <v>180180180.18018019</v>
      </c>
      <c r="I24" s="6">
        <f t="shared" si="3"/>
        <v>11383039.271485487</v>
      </c>
      <c r="J24" s="6">
        <f t="shared" si="4"/>
        <v>11235955.056179775</v>
      </c>
      <c r="K24" s="6">
        <f t="shared" si="5"/>
        <v>11261261.261261262</v>
      </c>
      <c r="L24" s="6">
        <f t="shared" si="6"/>
        <v>176720052.39427233</v>
      </c>
      <c r="M24" s="6">
        <f t="shared" si="7"/>
        <v>11045003.27464202</v>
      </c>
      <c r="N24" s="6"/>
      <c r="O24" s="10">
        <f t="shared" si="8"/>
        <v>180.69469647427479</v>
      </c>
      <c r="P24" s="10">
        <f t="shared" si="9"/>
        <v>11.293418529642175</v>
      </c>
      <c r="Q24" s="10">
        <f t="shared" si="10"/>
        <v>176.72005239427233</v>
      </c>
      <c r="R24" s="10">
        <f t="shared" si="10"/>
        <v>11.045003274642021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17850</v>
      </c>
      <c r="D25" s="1">
        <v>17910</v>
      </c>
      <c r="E25" s="1">
        <v>17720</v>
      </c>
      <c r="F25" s="6">
        <f t="shared" si="0"/>
        <v>190476190.47619048</v>
      </c>
      <c r="G25" s="6">
        <f t="shared" si="1"/>
        <v>189838079.28531548</v>
      </c>
      <c r="H25" s="6">
        <f t="shared" si="2"/>
        <v>191873589.16478553</v>
      </c>
      <c r="I25" s="6">
        <f t="shared" si="3"/>
        <v>11204481.792717086</v>
      </c>
      <c r="J25" s="6">
        <f t="shared" si="4"/>
        <v>11166945.840312675</v>
      </c>
      <c r="K25" s="6">
        <f t="shared" si="5"/>
        <v>11286681.715575621</v>
      </c>
      <c r="L25" s="6">
        <f t="shared" si="6"/>
        <v>187765055.66891435</v>
      </c>
      <c r="M25" s="6">
        <f t="shared" si="7"/>
        <v>11045003.27464202</v>
      </c>
      <c r="N25" s="6"/>
      <c r="O25" s="10">
        <f t="shared" si="8"/>
        <v>190.72928630876382</v>
      </c>
      <c r="P25" s="10">
        <f t="shared" si="9"/>
        <v>11.21936978286846</v>
      </c>
      <c r="Q25" s="10">
        <f t="shared" si="10"/>
        <v>187.76505566891436</v>
      </c>
      <c r="R25" s="10">
        <f t="shared" si="10"/>
        <v>11.045003274642021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17940</v>
      </c>
      <c r="D26" s="1">
        <v>17320</v>
      </c>
      <c r="E26" s="1">
        <v>17720</v>
      </c>
      <c r="F26" s="6">
        <f t="shared" si="0"/>
        <v>200668896.32107022</v>
      </c>
      <c r="G26" s="6">
        <f t="shared" si="1"/>
        <v>207852193.99538106</v>
      </c>
      <c r="H26" s="6">
        <f t="shared" si="2"/>
        <v>203160270.88036117</v>
      </c>
      <c r="I26" s="6">
        <f t="shared" si="3"/>
        <v>11148272.017837234</v>
      </c>
      <c r="J26" s="6">
        <f t="shared" si="4"/>
        <v>11547344.110854503</v>
      </c>
      <c r="K26" s="6">
        <f t="shared" si="5"/>
        <v>11286681.715575621</v>
      </c>
      <c r="L26" s="6">
        <f t="shared" si="6"/>
        <v>198810058.94355637</v>
      </c>
      <c r="M26" s="6">
        <f t="shared" si="7"/>
        <v>11045003.27464202</v>
      </c>
      <c r="N26" s="6"/>
      <c r="O26" s="10">
        <f t="shared" si="8"/>
        <v>203.89378706560419</v>
      </c>
      <c r="P26" s="10">
        <f t="shared" si="9"/>
        <v>11.327432614755786</v>
      </c>
      <c r="Q26" s="10">
        <f t="shared" si="10"/>
        <v>198.81005894355636</v>
      </c>
      <c r="R26" s="10">
        <f t="shared" si="10"/>
        <v>11.045003274642021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17840</v>
      </c>
      <c r="D27" s="1">
        <v>17840</v>
      </c>
      <c r="E27" s="1">
        <v>18030</v>
      </c>
      <c r="F27" s="6">
        <f t="shared" si="0"/>
        <v>213004484.30493274</v>
      </c>
      <c r="G27" s="6">
        <f t="shared" si="1"/>
        <v>213004484.30493274</v>
      </c>
      <c r="H27" s="6">
        <f t="shared" si="2"/>
        <v>210759844.70327234</v>
      </c>
      <c r="I27" s="6">
        <f t="shared" si="3"/>
        <v>11210762.331838565</v>
      </c>
      <c r="J27" s="6">
        <f t="shared" si="4"/>
        <v>11210762.331838565</v>
      </c>
      <c r="K27" s="6">
        <f t="shared" si="5"/>
        <v>11092623.405435387</v>
      </c>
      <c r="L27" s="6">
        <f t="shared" si="6"/>
        <v>209855062.21819839</v>
      </c>
      <c r="M27" s="6">
        <f t="shared" si="7"/>
        <v>11045003.27464202</v>
      </c>
      <c r="N27" s="6"/>
      <c r="O27" s="10">
        <f t="shared" si="8"/>
        <v>212.25627110437927</v>
      </c>
      <c r="P27" s="10">
        <f t="shared" si="9"/>
        <v>11.171382689704172</v>
      </c>
      <c r="Q27" s="10">
        <f t="shared" si="10"/>
        <v>209.85506221819838</v>
      </c>
      <c r="R27" s="10">
        <f t="shared" si="10"/>
        <v>11.045003274642021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17860</v>
      </c>
      <c r="D28" s="1">
        <v>17640</v>
      </c>
      <c r="E28" s="1">
        <v>17700</v>
      </c>
      <c r="F28" s="6">
        <f t="shared" si="0"/>
        <v>223964165.73348263</v>
      </c>
      <c r="G28" s="6">
        <f t="shared" si="1"/>
        <v>226757369.61451247</v>
      </c>
      <c r="H28" s="6">
        <f t="shared" si="2"/>
        <v>225988700.56497175</v>
      </c>
      <c r="I28" s="6">
        <f t="shared" si="3"/>
        <v>11198208.286674131</v>
      </c>
      <c r="J28" s="6">
        <f t="shared" si="4"/>
        <v>11337868.480725624</v>
      </c>
      <c r="K28" s="6">
        <f t="shared" si="5"/>
        <v>11299435.028248588</v>
      </c>
      <c r="L28" s="6">
        <f t="shared" si="6"/>
        <v>220900065.49284041</v>
      </c>
      <c r="M28" s="6">
        <f t="shared" si="7"/>
        <v>11045003.27464202</v>
      </c>
      <c r="N28" s="6"/>
      <c r="O28" s="10">
        <f t="shared" si="8"/>
        <v>225.57007863765563</v>
      </c>
      <c r="P28" s="10">
        <f t="shared" si="9"/>
        <v>11.278503931882781</v>
      </c>
      <c r="Q28" s="10">
        <f t="shared" si="10"/>
        <v>220.90006549284041</v>
      </c>
      <c r="R28" s="10">
        <f t="shared" si="10"/>
        <v>11.045003274642021</v>
      </c>
      <c r="S28" s="6"/>
    </row>
    <row r="29" spans="1:19" x14ac:dyDescent="0.25">
      <c r="A29">
        <v>21</v>
      </c>
      <c r="B29" s="1">
        <f t="shared" si="11"/>
        <v>2100000000</v>
      </c>
      <c r="C29" s="1">
        <v>17830</v>
      </c>
      <c r="D29" s="1">
        <v>17620</v>
      </c>
      <c r="E29" s="1">
        <v>17620</v>
      </c>
      <c r="F29" s="6">
        <f t="shared" si="0"/>
        <v>235558048.23331466</v>
      </c>
      <c r="G29" s="6">
        <f t="shared" si="1"/>
        <v>238365493.7570942</v>
      </c>
      <c r="H29" s="6">
        <f t="shared" si="2"/>
        <v>238365493.7570942</v>
      </c>
      <c r="I29" s="6">
        <f t="shared" si="3"/>
        <v>11217049.915872127</v>
      </c>
      <c r="J29" s="6">
        <f t="shared" si="4"/>
        <v>11350737.797956867</v>
      </c>
      <c r="K29" s="6">
        <f t="shared" si="5"/>
        <v>11350737.797956867</v>
      </c>
      <c r="L29" s="6">
        <f t="shared" si="6"/>
        <v>231945068.76748243</v>
      </c>
      <c r="M29" s="6">
        <f t="shared" si="7"/>
        <v>11045003.27464202</v>
      </c>
      <c r="N29" s="6"/>
      <c r="O29" s="10">
        <f t="shared" si="8"/>
        <v>237.42967858250103</v>
      </c>
      <c r="P29" s="10">
        <f t="shared" si="9"/>
        <v>11.306175170595289</v>
      </c>
      <c r="Q29" s="10">
        <f t="shared" si="10"/>
        <v>231.94506876748244</v>
      </c>
      <c r="R29" s="10">
        <f t="shared" si="10"/>
        <v>11.045003274642021</v>
      </c>
      <c r="S29" s="6"/>
    </row>
    <row r="30" spans="1:19" x14ac:dyDescent="0.25">
      <c r="A30">
        <v>22</v>
      </c>
      <c r="B30" s="1">
        <f t="shared" si="11"/>
        <v>2200000000</v>
      </c>
      <c r="C30" s="1">
        <v>17930</v>
      </c>
      <c r="D30" s="1">
        <v>17920</v>
      </c>
      <c r="E30" s="1">
        <v>17880</v>
      </c>
      <c r="F30" s="6">
        <f t="shared" si="0"/>
        <v>245398773.00613496</v>
      </c>
      <c r="G30" s="6">
        <f t="shared" si="1"/>
        <v>245535714.2857143</v>
      </c>
      <c r="H30" s="6">
        <f t="shared" si="2"/>
        <v>246085011.18568233</v>
      </c>
      <c r="I30" s="6">
        <f t="shared" si="3"/>
        <v>11154489.682097044</v>
      </c>
      <c r="J30" s="6">
        <f t="shared" si="4"/>
        <v>11160714.285714285</v>
      </c>
      <c r="K30" s="6">
        <f t="shared" si="5"/>
        <v>11185682.326621924</v>
      </c>
      <c r="L30" s="6">
        <f t="shared" si="6"/>
        <v>242990072.04212445</v>
      </c>
      <c r="M30" s="6">
        <f t="shared" si="7"/>
        <v>11045003.27464202</v>
      </c>
      <c r="N30" s="6"/>
      <c r="O30" s="10">
        <f t="shared" si="8"/>
        <v>245.67316615917719</v>
      </c>
      <c r="P30" s="10">
        <f t="shared" si="9"/>
        <v>11.166962098144417</v>
      </c>
      <c r="Q30" s="10">
        <f t="shared" si="10"/>
        <v>242.99007204212444</v>
      </c>
      <c r="R30" s="10">
        <f t="shared" si="10"/>
        <v>11.045003274642021</v>
      </c>
      <c r="S30" s="6"/>
    </row>
    <row r="31" spans="1:19" x14ac:dyDescent="0.25">
      <c r="A31">
        <v>23</v>
      </c>
      <c r="B31" s="1">
        <f t="shared" si="11"/>
        <v>2300000000</v>
      </c>
      <c r="C31" s="1">
        <v>17770</v>
      </c>
      <c r="D31" s="1">
        <v>17780</v>
      </c>
      <c r="E31" s="1">
        <v>17880</v>
      </c>
      <c r="F31" s="6">
        <f t="shared" si="0"/>
        <v>258863252.67304444</v>
      </c>
      <c r="G31" s="6">
        <f t="shared" si="1"/>
        <v>258717660.29246342</v>
      </c>
      <c r="H31" s="6">
        <f t="shared" si="2"/>
        <v>257270693.51230425</v>
      </c>
      <c r="I31" s="6">
        <f t="shared" si="3"/>
        <v>11254924.029262802</v>
      </c>
      <c r="J31" s="6">
        <f t="shared" si="4"/>
        <v>11248593.92575928</v>
      </c>
      <c r="K31" s="6">
        <f t="shared" si="5"/>
        <v>11185682.326621924</v>
      </c>
      <c r="L31" s="6">
        <f t="shared" si="6"/>
        <v>254035075.31676647</v>
      </c>
      <c r="M31" s="6">
        <f t="shared" si="7"/>
        <v>11045003.27464202</v>
      </c>
      <c r="N31" s="6"/>
      <c r="O31" s="10">
        <f t="shared" si="8"/>
        <v>258.28386882593736</v>
      </c>
      <c r="P31" s="10">
        <f t="shared" si="9"/>
        <v>11.229733427214667</v>
      </c>
      <c r="Q31" s="10">
        <f t="shared" si="10"/>
        <v>254.03507531676647</v>
      </c>
      <c r="R31" s="10">
        <f t="shared" si="10"/>
        <v>11.045003274642021</v>
      </c>
      <c r="S31" s="6"/>
    </row>
    <row r="32" spans="1:19" x14ac:dyDescent="0.25">
      <c r="A32">
        <v>24</v>
      </c>
      <c r="B32" s="1">
        <f t="shared" si="11"/>
        <v>2400000000</v>
      </c>
      <c r="C32" s="1">
        <v>17870</v>
      </c>
      <c r="D32" s="1">
        <v>17850</v>
      </c>
      <c r="E32" s="1">
        <v>17430</v>
      </c>
      <c r="F32" s="6">
        <f t="shared" si="0"/>
        <v>268606603.24566311</v>
      </c>
      <c r="G32" s="6">
        <f t="shared" si="1"/>
        <v>268907563.02521008</v>
      </c>
      <c r="H32" s="6">
        <f t="shared" si="2"/>
        <v>275387263.33907056</v>
      </c>
      <c r="I32" s="6">
        <f t="shared" si="3"/>
        <v>11191941.801902629</v>
      </c>
      <c r="J32" s="6">
        <f t="shared" si="4"/>
        <v>11204481.792717086</v>
      </c>
      <c r="K32" s="6">
        <f t="shared" si="5"/>
        <v>11474469.305794606</v>
      </c>
      <c r="L32" s="6">
        <f t="shared" si="6"/>
        <v>265080078.59140849</v>
      </c>
      <c r="M32" s="6">
        <f t="shared" si="7"/>
        <v>11045003.27464202</v>
      </c>
      <c r="N32" s="6"/>
      <c r="O32" s="10">
        <f t="shared" si="8"/>
        <v>270.96714320331461</v>
      </c>
      <c r="P32" s="10">
        <f t="shared" si="9"/>
        <v>11.290297633471438</v>
      </c>
      <c r="Q32" s="10">
        <f t="shared" si="10"/>
        <v>265.08007859140849</v>
      </c>
      <c r="R32" s="10">
        <f t="shared" si="10"/>
        <v>11.045003274642021</v>
      </c>
      <c r="S32" s="6"/>
    </row>
    <row r="33" spans="1:19" x14ac:dyDescent="0.25">
      <c r="A33">
        <v>25</v>
      </c>
      <c r="B33" s="1">
        <f t="shared" si="11"/>
        <v>2500000000</v>
      </c>
      <c r="C33" s="1">
        <v>17620</v>
      </c>
      <c r="D33" s="1">
        <v>17800</v>
      </c>
      <c r="E33" s="1">
        <v>17600</v>
      </c>
      <c r="F33" s="6">
        <f t="shared" si="0"/>
        <v>283768444.94892168</v>
      </c>
      <c r="G33" s="6">
        <f t="shared" si="1"/>
        <v>280898876.4044944</v>
      </c>
      <c r="H33" s="6">
        <f t="shared" si="2"/>
        <v>284090909.09090912</v>
      </c>
      <c r="I33" s="6">
        <f t="shared" si="3"/>
        <v>11350737.797956867</v>
      </c>
      <c r="J33" s="6">
        <f t="shared" si="4"/>
        <v>11235955.056179777</v>
      </c>
      <c r="K33" s="6">
        <f t="shared" si="5"/>
        <v>11363636.363636365</v>
      </c>
      <c r="L33" s="6">
        <f t="shared" si="6"/>
        <v>276125081.86605048</v>
      </c>
      <c r="M33" s="6">
        <f t="shared" si="7"/>
        <v>11045003.274642019</v>
      </c>
      <c r="N33" s="6"/>
      <c r="O33" s="10">
        <f t="shared" si="8"/>
        <v>282.9194101481084</v>
      </c>
      <c r="P33" s="10">
        <f t="shared" si="9"/>
        <v>11.316776405924337</v>
      </c>
      <c r="Q33" s="10">
        <f t="shared" si="10"/>
        <v>276.12508186605049</v>
      </c>
      <c r="R33" s="10">
        <f t="shared" si="10"/>
        <v>11.045003274642019</v>
      </c>
      <c r="S33" s="6"/>
    </row>
    <row r="34" spans="1:19" x14ac:dyDescent="0.25">
      <c r="A34">
        <v>26</v>
      </c>
      <c r="B34" s="1">
        <f t="shared" si="11"/>
        <v>2600000000</v>
      </c>
      <c r="C34" s="1">
        <v>17520</v>
      </c>
      <c r="D34" s="1">
        <v>17520</v>
      </c>
      <c r="E34" s="1">
        <v>17820</v>
      </c>
      <c r="F34" s="6">
        <f t="shared" si="0"/>
        <v>296803652.96803653</v>
      </c>
      <c r="G34" s="6">
        <f t="shared" si="1"/>
        <v>296803652.96803653</v>
      </c>
      <c r="H34" s="6">
        <f t="shared" si="2"/>
        <v>291806958.47362512</v>
      </c>
      <c r="I34" s="6">
        <f t="shared" si="3"/>
        <v>11415525.114155252</v>
      </c>
      <c r="J34" s="6">
        <f t="shared" si="4"/>
        <v>11415525.114155252</v>
      </c>
      <c r="K34" s="6">
        <f t="shared" si="5"/>
        <v>11223344.556677889</v>
      </c>
      <c r="L34" s="6">
        <f t="shared" si="6"/>
        <v>287170085.14069253</v>
      </c>
      <c r="M34" s="6">
        <f t="shared" si="7"/>
        <v>11045003.27464202</v>
      </c>
      <c r="N34" s="6"/>
      <c r="O34" s="10">
        <f t="shared" si="8"/>
        <v>295.13808813656613</v>
      </c>
      <c r="P34" s="10">
        <f t="shared" si="9"/>
        <v>11.351464928329461</v>
      </c>
      <c r="Q34" s="10">
        <f t="shared" si="10"/>
        <v>287.17008514069255</v>
      </c>
      <c r="R34" s="10">
        <f t="shared" si="10"/>
        <v>11.045003274642021</v>
      </c>
      <c r="S34" s="6"/>
    </row>
    <row r="35" spans="1:19" x14ac:dyDescent="0.25">
      <c r="A35">
        <v>27</v>
      </c>
      <c r="B35" s="1">
        <f t="shared" si="11"/>
        <v>2700000000</v>
      </c>
      <c r="C35" s="1">
        <v>18000</v>
      </c>
      <c r="D35" s="1">
        <v>17430</v>
      </c>
      <c r="E35" s="1">
        <v>17970</v>
      </c>
      <c r="F35" s="6">
        <f t="shared" si="0"/>
        <v>300000000</v>
      </c>
      <c r="G35" s="6">
        <f t="shared" si="1"/>
        <v>309810671.25645435</v>
      </c>
      <c r="H35" s="6">
        <f t="shared" si="2"/>
        <v>300500834.72454089</v>
      </c>
      <c r="I35" s="6">
        <f t="shared" si="3"/>
        <v>11111111.111111112</v>
      </c>
      <c r="J35" s="6">
        <f t="shared" si="4"/>
        <v>11474469.305794606</v>
      </c>
      <c r="K35" s="6">
        <f t="shared" si="5"/>
        <v>11129660.545353366</v>
      </c>
      <c r="L35" s="6">
        <f t="shared" si="6"/>
        <v>298215088.41533458</v>
      </c>
      <c r="M35" s="6">
        <f t="shared" si="7"/>
        <v>11045003.274642022</v>
      </c>
      <c r="N35" s="6"/>
      <c r="O35" s="10">
        <f t="shared" si="8"/>
        <v>303.43716866033174</v>
      </c>
      <c r="P35" s="10">
        <f t="shared" si="9"/>
        <v>11.238413654086362</v>
      </c>
      <c r="Q35" s="10">
        <f t="shared" si="10"/>
        <v>298.21508841533461</v>
      </c>
      <c r="R35" s="10">
        <f t="shared" si="10"/>
        <v>11.045003274642022</v>
      </c>
      <c r="S35" s="6"/>
    </row>
    <row r="36" spans="1:19" x14ac:dyDescent="0.25">
      <c r="A36">
        <v>28</v>
      </c>
      <c r="B36" s="1">
        <f t="shared" si="11"/>
        <v>2800000000</v>
      </c>
      <c r="C36" s="1">
        <v>17920</v>
      </c>
      <c r="D36" s="1">
        <v>17870</v>
      </c>
      <c r="E36" s="1">
        <v>17710</v>
      </c>
      <c r="F36" s="6">
        <f t="shared" si="0"/>
        <v>312500000</v>
      </c>
      <c r="G36" s="6">
        <f t="shared" si="1"/>
        <v>313374370.45327365</v>
      </c>
      <c r="H36" s="6">
        <f t="shared" si="2"/>
        <v>316205533.59683794</v>
      </c>
      <c r="I36" s="6">
        <f t="shared" si="3"/>
        <v>11160714.285714285</v>
      </c>
      <c r="J36" s="6">
        <f t="shared" si="4"/>
        <v>11191941.801902631</v>
      </c>
      <c r="K36" s="6">
        <f t="shared" si="5"/>
        <v>11293054.77131564</v>
      </c>
      <c r="L36" s="6">
        <f t="shared" si="6"/>
        <v>309260091.68997657</v>
      </c>
      <c r="M36" s="6">
        <f t="shared" si="7"/>
        <v>11045003.27464202</v>
      </c>
      <c r="N36" s="6"/>
      <c r="O36" s="10">
        <f t="shared" si="8"/>
        <v>314.0266346833705</v>
      </c>
      <c r="P36" s="10">
        <f t="shared" si="9"/>
        <v>11.215236952977518</v>
      </c>
      <c r="Q36" s="10">
        <f t="shared" si="10"/>
        <v>309.26009168997655</v>
      </c>
      <c r="R36" s="10">
        <f t="shared" si="10"/>
        <v>11.045003274642021</v>
      </c>
      <c r="S36" s="6"/>
    </row>
    <row r="37" spans="1:19" x14ac:dyDescent="0.25">
      <c r="A37">
        <v>29</v>
      </c>
      <c r="B37" s="1">
        <f t="shared" si="11"/>
        <v>2900000000</v>
      </c>
      <c r="C37" s="1">
        <v>17830</v>
      </c>
      <c r="D37" s="1">
        <v>17740</v>
      </c>
      <c r="E37" s="1">
        <v>17220</v>
      </c>
      <c r="F37" s="6">
        <f t="shared" si="0"/>
        <v>325294447.56029165</v>
      </c>
      <c r="G37" s="6">
        <f t="shared" si="1"/>
        <v>326944757.6099211</v>
      </c>
      <c r="H37" s="6">
        <f t="shared" si="2"/>
        <v>336817653.89082462</v>
      </c>
      <c r="I37" s="6">
        <f t="shared" si="3"/>
        <v>11217049.915872125</v>
      </c>
      <c r="J37" s="6">
        <f t="shared" si="4"/>
        <v>11273957.158962797</v>
      </c>
      <c r="K37" s="6">
        <f t="shared" si="5"/>
        <v>11614401.858304298</v>
      </c>
      <c r="L37" s="6">
        <f t="shared" si="6"/>
        <v>320305094.96461856</v>
      </c>
      <c r="M37" s="6">
        <f t="shared" si="7"/>
        <v>11045003.274642019</v>
      </c>
      <c r="N37" s="6"/>
      <c r="O37" s="10">
        <f t="shared" si="8"/>
        <v>329.68561968701243</v>
      </c>
      <c r="P37" s="10">
        <f t="shared" si="9"/>
        <v>11.36846964437974</v>
      </c>
      <c r="Q37" s="10">
        <f t="shared" si="10"/>
        <v>320.30509496461855</v>
      </c>
      <c r="R37" s="10">
        <f t="shared" si="10"/>
        <v>11.045003274642019</v>
      </c>
      <c r="S37" s="6"/>
    </row>
    <row r="38" spans="1:19" x14ac:dyDescent="0.25">
      <c r="A38">
        <v>30</v>
      </c>
      <c r="B38" s="1">
        <f t="shared" si="11"/>
        <v>3000000000</v>
      </c>
      <c r="C38" s="1">
        <v>17700</v>
      </c>
      <c r="D38" s="1">
        <v>17820</v>
      </c>
      <c r="E38" s="1">
        <v>17760</v>
      </c>
      <c r="F38" s="6">
        <f t="shared" si="0"/>
        <v>338983050.84745759</v>
      </c>
      <c r="G38" s="6">
        <f t="shared" si="1"/>
        <v>336700336.70033669</v>
      </c>
      <c r="H38" s="6">
        <f t="shared" si="2"/>
        <v>337837837.83783782</v>
      </c>
      <c r="I38" s="6">
        <f t="shared" si="3"/>
        <v>11299435.028248586</v>
      </c>
      <c r="J38" s="6">
        <f t="shared" si="4"/>
        <v>11223344.556677889</v>
      </c>
      <c r="K38" s="6">
        <f t="shared" si="5"/>
        <v>11261261.26126126</v>
      </c>
      <c r="L38" s="6">
        <f t="shared" si="6"/>
        <v>331350098.23926061</v>
      </c>
      <c r="M38" s="6">
        <f t="shared" si="7"/>
        <v>11045003.27464202</v>
      </c>
      <c r="N38" s="6"/>
      <c r="O38" s="10">
        <f t="shared" si="8"/>
        <v>337.84040846187742</v>
      </c>
      <c r="P38" s="10">
        <f t="shared" si="9"/>
        <v>11.261346948729244</v>
      </c>
      <c r="Q38" s="10">
        <f t="shared" si="10"/>
        <v>331.3500982392606</v>
      </c>
      <c r="R38" s="10">
        <f t="shared" si="10"/>
        <v>11.045003274642021</v>
      </c>
      <c r="S38" s="6"/>
    </row>
    <row r="39" spans="1:19" x14ac:dyDescent="0.25">
      <c r="A39">
        <v>31</v>
      </c>
      <c r="B39" s="1">
        <f t="shared" si="11"/>
        <v>3100000000</v>
      </c>
      <c r="C39" s="1">
        <v>17960</v>
      </c>
      <c r="D39" s="1">
        <v>17610</v>
      </c>
      <c r="E39" s="1">
        <v>18060</v>
      </c>
      <c r="F39" s="6">
        <f t="shared" si="0"/>
        <v>345211581.29175943</v>
      </c>
      <c r="G39" s="6">
        <f t="shared" si="1"/>
        <v>352072685.9738785</v>
      </c>
      <c r="H39" s="6">
        <f t="shared" si="2"/>
        <v>343300110.74197125</v>
      </c>
      <c r="I39" s="6">
        <f t="shared" si="3"/>
        <v>11135857.461024499</v>
      </c>
      <c r="J39" s="6">
        <f t="shared" si="4"/>
        <v>11357183.41851221</v>
      </c>
      <c r="K39" s="6">
        <f t="shared" si="5"/>
        <v>11074197.120708751</v>
      </c>
      <c r="L39" s="6">
        <f t="shared" si="6"/>
        <v>342395101.51390266</v>
      </c>
      <c r="M39" s="6">
        <f t="shared" si="7"/>
        <v>11045003.274642022</v>
      </c>
      <c r="N39" s="6"/>
      <c r="O39" s="10">
        <f t="shared" si="8"/>
        <v>346.86145933586971</v>
      </c>
      <c r="P39" s="10">
        <f t="shared" si="9"/>
        <v>11.189079333415153</v>
      </c>
      <c r="Q39" s="10">
        <f t="shared" si="10"/>
        <v>342.39510151390266</v>
      </c>
      <c r="R39" s="10">
        <f t="shared" si="10"/>
        <v>11.045003274642022</v>
      </c>
      <c r="S39" s="6"/>
    </row>
    <row r="40" spans="1:19" x14ac:dyDescent="0.25">
      <c r="A40">
        <v>32</v>
      </c>
      <c r="B40" s="1">
        <f t="shared" si="11"/>
        <v>3200000000</v>
      </c>
      <c r="C40" s="1">
        <v>18110</v>
      </c>
      <c r="D40" s="1">
        <v>17980</v>
      </c>
      <c r="E40" s="1">
        <v>18060</v>
      </c>
      <c r="F40" s="6">
        <f t="shared" si="0"/>
        <v>353395913.85974604</v>
      </c>
      <c r="G40" s="6">
        <f t="shared" si="1"/>
        <v>355951056.72969967</v>
      </c>
      <c r="H40" s="6">
        <f t="shared" si="2"/>
        <v>354374307.86267996</v>
      </c>
      <c r="I40" s="6">
        <f t="shared" si="3"/>
        <v>11043622.308117064</v>
      </c>
      <c r="J40" s="6">
        <f t="shared" si="4"/>
        <v>11123470.522803115</v>
      </c>
      <c r="K40" s="6">
        <f t="shared" si="5"/>
        <v>11074197.120708749</v>
      </c>
      <c r="L40" s="6">
        <f t="shared" si="6"/>
        <v>353440104.78854465</v>
      </c>
      <c r="M40" s="6">
        <f t="shared" si="7"/>
        <v>11045003.27464202</v>
      </c>
      <c r="N40" s="6"/>
      <c r="O40" s="10">
        <f t="shared" si="8"/>
        <v>354.57375948404189</v>
      </c>
      <c r="P40" s="10">
        <f t="shared" si="9"/>
        <v>11.080429983876309</v>
      </c>
      <c r="Q40" s="10">
        <f t="shared" si="10"/>
        <v>353.44010478854466</v>
      </c>
      <c r="R40" s="10">
        <f t="shared" si="10"/>
        <v>11.045003274642021</v>
      </c>
      <c r="S40" s="6"/>
    </row>
    <row r="41" spans="1:19" x14ac:dyDescent="0.25">
      <c r="A41">
        <v>33</v>
      </c>
      <c r="B41" s="1">
        <f t="shared" si="11"/>
        <v>3300000000</v>
      </c>
      <c r="C41" s="1">
        <v>18190</v>
      </c>
      <c r="D41" s="1">
        <v>18340</v>
      </c>
      <c r="E41" s="1">
        <v>18260</v>
      </c>
      <c r="F41" s="6">
        <f t="shared" si="0"/>
        <v>362836723.47443652</v>
      </c>
      <c r="G41" s="6">
        <f t="shared" si="1"/>
        <v>359869138.49509269</v>
      </c>
      <c r="H41" s="6">
        <f t="shared" si="2"/>
        <v>361445783.13253009</v>
      </c>
      <c r="I41" s="6">
        <f t="shared" si="3"/>
        <v>10995052.226498077</v>
      </c>
      <c r="J41" s="6">
        <f t="shared" si="4"/>
        <v>10905125.408942202</v>
      </c>
      <c r="K41" s="6">
        <f t="shared" si="5"/>
        <v>10952902.519167578</v>
      </c>
      <c r="L41" s="6">
        <f>$L$40+$L$9*(A41-32)*40%</f>
        <v>357858106.09840149</v>
      </c>
      <c r="M41" s="6">
        <f t="shared" si="7"/>
        <v>10844185.033284893</v>
      </c>
      <c r="N41" s="6"/>
      <c r="O41" s="10">
        <f t="shared" si="8"/>
        <v>361.38388170068646</v>
      </c>
      <c r="P41" s="10">
        <f t="shared" si="9"/>
        <v>10.95102671820262</v>
      </c>
      <c r="Q41" s="10">
        <f t="shared" si="10"/>
        <v>357.85810609840149</v>
      </c>
      <c r="R41" s="10">
        <f t="shared" si="10"/>
        <v>10.844185033284893</v>
      </c>
      <c r="S41" s="6"/>
    </row>
    <row r="42" spans="1:19" x14ac:dyDescent="0.25">
      <c r="A42">
        <v>34</v>
      </c>
      <c r="B42" s="1">
        <f t="shared" si="11"/>
        <v>3400000000</v>
      </c>
      <c r="C42" s="1">
        <v>18540</v>
      </c>
      <c r="D42" s="1">
        <v>18340</v>
      </c>
      <c r="E42" s="1">
        <v>18760</v>
      </c>
      <c r="F42" s="6">
        <f t="shared" si="0"/>
        <v>366774541.5318231</v>
      </c>
      <c r="G42" s="6">
        <f t="shared" si="1"/>
        <v>370774263.90403491</v>
      </c>
      <c r="H42" s="6">
        <f t="shared" si="2"/>
        <v>362473347.54797447</v>
      </c>
      <c r="I42" s="6">
        <f t="shared" si="3"/>
        <v>10787486.515641855</v>
      </c>
      <c r="J42" s="6">
        <f t="shared" si="4"/>
        <v>10905125.408942204</v>
      </c>
      <c r="K42" s="6">
        <f t="shared" si="5"/>
        <v>10660980.810234543</v>
      </c>
      <c r="L42" s="6">
        <f t="shared" ref="L42:L72" si="12">$L$40+$L$9*(A42-32)*40%</f>
        <v>362276107.40825826</v>
      </c>
      <c r="M42" s="6">
        <f t="shared" si="7"/>
        <v>10655179.629654655</v>
      </c>
      <c r="N42" s="6"/>
      <c r="O42" s="10">
        <f t="shared" si="8"/>
        <v>366.67405099461081</v>
      </c>
      <c r="P42" s="10">
        <f t="shared" si="9"/>
        <v>10.784530911606202</v>
      </c>
      <c r="Q42" s="10">
        <f t="shared" si="10"/>
        <v>362.27610740825827</v>
      </c>
      <c r="R42" s="10">
        <f t="shared" si="10"/>
        <v>10.655179629654656</v>
      </c>
      <c r="S42" s="6"/>
    </row>
    <row r="43" spans="1:19" x14ac:dyDescent="0.25">
      <c r="A43">
        <v>35</v>
      </c>
      <c r="B43" s="1">
        <f t="shared" si="11"/>
        <v>3500000000</v>
      </c>
      <c r="C43" s="1">
        <v>19000</v>
      </c>
      <c r="D43" s="1">
        <v>19120</v>
      </c>
      <c r="E43" s="1">
        <v>18730</v>
      </c>
      <c r="F43" s="6">
        <f t="shared" si="0"/>
        <v>368421052.63157892</v>
      </c>
      <c r="G43" s="6">
        <f t="shared" si="1"/>
        <v>366108786.61087865</v>
      </c>
      <c r="H43" s="6">
        <f t="shared" si="2"/>
        <v>373731980.7794981</v>
      </c>
      <c r="I43" s="6">
        <f t="shared" si="3"/>
        <v>10526315.789473683</v>
      </c>
      <c r="J43" s="6">
        <f t="shared" si="4"/>
        <v>10460251.046025105</v>
      </c>
      <c r="K43" s="6">
        <f t="shared" si="5"/>
        <v>10678056.593699945</v>
      </c>
      <c r="L43" s="6">
        <f t="shared" si="12"/>
        <v>366694108.71811509</v>
      </c>
      <c r="M43" s="6">
        <f t="shared" si="7"/>
        <v>10476974.534803288</v>
      </c>
      <c r="N43" s="6"/>
      <c r="O43" s="10">
        <f t="shared" si="8"/>
        <v>369.42060667398522</v>
      </c>
      <c r="P43" s="10">
        <f t="shared" si="9"/>
        <v>10.554874476399577</v>
      </c>
      <c r="Q43" s="10">
        <f t="shared" si="10"/>
        <v>366.6941087181151</v>
      </c>
      <c r="R43" s="10">
        <f t="shared" si="10"/>
        <v>10.476974534803288</v>
      </c>
      <c r="S43" s="6"/>
    </row>
    <row r="44" spans="1:19" x14ac:dyDescent="0.25">
      <c r="A44">
        <v>36</v>
      </c>
      <c r="B44" s="1">
        <f t="shared" si="11"/>
        <v>3600000000</v>
      </c>
      <c r="C44" s="1">
        <v>18830</v>
      </c>
      <c r="D44" s="1">
        <v>19310</v>
      </c>
      <c r="E44" s="1">
        <v>19370</v>
      </c>
      <c r="F44" s="6">
        <f t="shared" si="0"/>
        <v>382368560.80722249</v>
      </c>
      <c r="G44" s="6">
        <f t="shared" si="1"/>
        <v>372863801.13930607</v>
      </c>
      <c r="H44" s="6">
        <f t="shared" si="2"/>
        <v>371708828.08466703</v>
      </c>
      <c r="I44" s="6">
        <f t="shared" si="3"/>
        <v>10621348.911311736</v>
      </c>
      <c r="J44" s="6">
        <f t="shared" si="4"/>
        <v>10357327.809425168</v>
      </c>
      <c r="K44" s="6">
        <f t="shared" si="5"/>
        <v>10325245.224574083</v>
      </c>
      <c r="L44" s="6">
        <f t="shared" si="12"/>
        <v>371112110.02797186</v>
      </c>
      <c r="M44" s="6">
        <f t="shared" si="7"/>
        <v>10308669.722999219</v>
      </c>
      <c r="N44" s="6"/>
      <c r="O44" s="10">
        <f t="shared" si="8"/>
        <v>375.64706334373187</v>
      </c>
      <c r="P44" s="10">
        <f t="shared" si="9"/>
        <v>10.434640648436995</v>
      </c>
      <c r="Q44" s="10">
        <f t="shared" si="10"/>
        <v>371.11211002797188</v>
      </c>
      <c r="R44" s="10">
        <f t="shared" si="10"/>
        <v>10.30866972299922</v>
      </c>
      <c r="S44" s="6"/>
    </row>
    <row r="45" spans="1:19" x14ac:dyDescent="0.25">
      <c r="A45">
        <v>37</v>
      </c>
      <c r="B45" s="1">
        <f t="shared" si="11"/>
        <v>3700000000</v>
      </c>
      <c r="C45" s="1">
        <v>19500</v>
      </c>
      <c r="D45" s="1">
        <v>19800</v>
      </c>
      <c r="E45" s="1">
        <v>19730</v>
      </c>
      <c r="F45" s="6">
        <f t="shared" si="0"/>
        <v>379487179.48717952</v>
      </c>
      <c r="G45" s="6">
        <f t="shared" si="1"/>
        <v>373737373.73737371</v>
      </c>
      <c r="H45" s="6">
        <f t="shared" si="2"/>
        <v>375063355.29650277</v>
      </c>
      <c r="I45" s="6">
        <f t="shared" si="3"/>
        <v>10256410.256410258</v>
      </c>
      <c r="J45" s="6">
        <f t="shared" si="4"/>
        <v>10101010.101010101</v>
      </c>
      <c r="K45" s="6">
        <f t="shared" si="5"/>
        <v>10136847.440446021</v>
      </c>
      <c r="L45" s="6">
        <f t="shared" si="12"/>
        <v>375530111.3378287</v>
      </c>
      <c r="M45" s="6">
        <f t="shared" si="7"/>
        <v>10149462.468589965</v>
      </c>
      <c r="N45" s="6"/>
      <c r="O45" s="10">
        <f t="shared" si="8"/>
        <v>376.09596950701865</v>
      </c>
      <c r="P45" s="10">
        <f t="shared" si="9"/>
        <v>10.164755932622127</v>
      </c>
      <c r="Q45" s="10">
        <f t="shared" si="10"/>
        <v>375.53011133782871</v>
      </c>
      <c r="R45" s="10">
        <f t="shared" si="10"/>
        <v>10.149462468589965</v>
      </c>
      <c r="S45" s="6"/>
    </row>
    <row r="46" spans="1:19" x14ac:dyDescent="0.25">
      <c r="A46">
        <v>38</v>
      </c>
      <c r="B46" s="1">
        <f t="shared" si="11"/>
        <v>3800000000</v>
      </c>
      <c r="C46" s="1">
        <v>19560</v>
      </c>
      <c r="D46" s="1">
        <v>20110</v>
      </c>
      <c r="E46" s="1">
        <v>20110</v>
      </c>
      <c r="F46" s="6">
        <f t="shared" si="0"/>
        <v>388548057.25971371</v>
      </c>
      <c r="G46" s="6">
        <f t="shared" si="1"/>
        <v>377921432.12332177</v>
      </c>
      <c r="H46" s="6">
        <f t="shared" si="2"/>
        <v>377921432.12332177</v>
      </c>
      <c r="I46" s="6">
        <f t="shared" si="3"/>
        <v>10224948.875255624</v>
      </c>
      <c r="J46" s="6">
        <f t="shared" si="4"/>
        <v>9945300.8453505728</v>
      </c>
      <c r="K46" s="6">
        <f t="shared" si="5"/>
        <v>9945300.8453505728</v>
      </c>
      <c r="L46" s="6">
        <f t="shared" si="12"/>
        <v>379948112.64768553</v>
      </c>
      <c r="M46" s="6">
        <f t="shared" si="7"/>
        <v>9998634.5433601458</v>
      </c>
      <c r="N46" s="6"/>
      <c r="O46" s="10">
        <f t="shared" si="8"/>
        <v>381.46364050211906</v>
      </c>
      <c r="P46" s="10">
        <f t="shared" si="9"/>
        <v>10.038516855318925</v>
      </c>
      <c r="Q46" s="10">
        <f t="shared" si="10"/>
        <v>379.94811264768555</v>
      </c>
      <c r="R46" s="10">
        <f t="shared" si="10"/>
        <v>9.9986345433601453</v>
      </c>
      <c r="S46" s="6"/>
    </row>
    <row r="47" spans="1:19" x14ac:dyDescent="0.25">
      <c r="A47">
        <v>39</v>
      </c>
      <c r="B47" s="1">
        <f t="shared" si="11"/>
        <v>3900000000</v>
      </c>
      <c r="C47" s="1">
        <v>20190</v>
      </c>
      <c r="D47" s="1">
        <v>20180</v>
      </c>
      <c r="E47" s="1">
        <v>19840</v>
      </c>
      <c r="F47" s="6">
        <f t="shared" si="0"/>
        <v>386329866.27043092</v>
      </c>
      <c r="G47" s="6">
        <f t="shared" si="1"/>
        <v>386521308.22596627</v>
      </c>
      <c r="H47" s="6">
        <f t="shared" si="2"/>
        <v>393145161.2903226</v>
      </c>
      <c r="I47" s="6">
        <f t="shared" si="3"/>
        <v>9905894.0069341268</v>
      </c>
      <c r="J47" s="6">
        <f t="shared" si="4"/>
        <v>9910802.7750247754</v>
      </c>
      <c r="K47" s="6">
        <f t="shared" si="5"/>
        <v>10080645.161290323</v>
      </c>
      <c r="L47" s="6">
        <f t="shared" si="12"/>
        <v>384366113.9575423</v>
      </c>
      <c r="M47" s="6">
        <f t="shared" si="7"/>
        <v>9855541.3835267257</v>
      </c>
      <c r="N47" s="6"/>
      <c r="O47" s="10">
        <f t="shared" si="8"/>
        <v>388.66544526223993</v>
      </c>
      <c r="P47" s="10">
        <f t="shared" si="9"/>
        <v>9.9657806477497424</v>
      </c>
      <c r="Q47" s="10">
        <f t="shared" si="10"/>
        <v>384.36611395754232</v>
      </c>
      <c r="R47" s="10">
        <f t="shared" si="10"/>
        <v>9.8555413835267256</v>
      </c>
      <c r="S47" s="6"/>
    </row>
    <row r="48" spans="1:19" x14ac:dyDescent="0.25">
      <c r="A48">
        <v>40</v>
      </c>
      <c r="B48" s="1">
        <f t="shared" si="11"/>
        <v>4000000000</v>
      </c>
      <c r="C48" s="1">
        <v>20600</v>
      </c>
      <c r="D48" s="1">
        <v>20380</v>
      </c>
      <c r="E48" s="1">
        <v>20730</v>
      </c>
      <c r="F48" s="6">
        <f t="shared" si="0"/>
        <v>388349514.56310683</v>
      </c>
      <c r="G48" s="6">
        <f t="shared" si="1"/>
        <v>392541707.55642784</v>
      </c>
      <c r="H48" s="6">
        <f t="shared" si="2"/>
        <v>385914134.10516161</v>
      </c>
      <c r="I48" s="6">
        <f t="shared" si="3"/>
        <v>9708737.8640776705</v>
      </c>
      <c r="J48" s="6">
        <f t="shared" si="4"/>
        <v>9813542.6889106967</v>
      </c>
      <c r="K48" s="6">
        <f t="shared" si="5"/>
        <v>9647853.3526290394</v>
      </c>
      <c r="L48" s="6">
        <f t="shared" si="12"/>
        <v>388784115.26739913</v>
      </c>
      <c r="M48" s="6">
        <f t="shared" si="7"/>
        <v>9719602.8816849776</v>
      </c>
      <c r="N48" s="6"/>
      <c r="O48" s="10">
        <f t="shared" si="8"/>
        <v>388.93511874156547</v>
      </c>
      <c r="P48" s="10">
        <f t="shared" si="9"/>
        <v>9.7233779685391362</v>
      </c>
      <c r="Q48" s="10">
        <f t="shared" si="10"/>
        <v>388.78411526739916</v>
      </c>
      <c r="R48" s="10">
        <f t="shared" si="10"/>
        <v>9.7196028816849775</v>
      </c>
      <c r="S48" s="6"/>
    </row>
    <row r="49" spans="1:21" x14ac:dyDescent="0.25">
      <c r="A49">
        <v>41</v>
      </c>
      <c r="B49" s="1">
        <f t="shared" si="11"/>
        <v>4100000000</v>
      </c>
      <c r="C49" s="1">
        <v>20550</v>
      </c>
      <c r="D49" s="1">
        <v>21200</v>
      </c>
      <c r="E49" s="1">
        <v>20750</v>
      </c>
      <c r="F49" s="6">
        <f t="shared" si="0"/>
        <v>399026763.99026763</v>
      </c>
      <c r="G49" s="6">
        <f t="shared" si="1"/>
        <v>386792452.83018869</v>
      </c>
      <c r="H49" s="6">
        <f t="shared" si="2"/>
        <v>395180722.89156628</v>
      </c>
      <c r="I49" s="6">
        <f t="shared" si="3"/>
        <v>9732360.0973236002</v>
      </c>
      <c r="J49" s="6">
        <f t="shared" si="4"/>
        <v>9433962.2641509436</v>
      </c>
      <c r="K49" s="6">
        <f t="shared" si="5"/>
        <v>9638554.2168674693</v>
      </c>
      <c r="L49" s="6">
        <f t="shared" si="12"/>
        <v>393202116.5772559</v>
      </c>
      <c r="M49" s="6">
        <f t="shared" si="7"/>
        <v>9590295.5262745339</v>
      </c>
      <c r="N49" s="6"/>
      <c r="O49" s="10">
        <f t="shared" si="8"/>
        <v>393.66664657067417</v>
      </c>
      <c r="P49" s="10">
        <f t="shared" si="9"/>
        <v>9.6016255261140042</v>
      </c>
      <c r="Q49" s="10">
        <f t="shared" si="10"/>
        <v>393.20211657725588</v>
      </c>
      <c r="R49" s="10">
        <f t="shared" si="10"/>
        <v>9.5902955262745344</v>
      </c>
      <c r="S49" s="6"/>
    </row>
    <row r="50" spans="1:21" x14ac:dyDescent="0.25">
      <c r="A50">
        <v>42</v>
      </c>
      <c r="B50" s="1">
        <f t="shared" si="11"/>
        <v>4200000000</v>
      </c>
      <c r="C50" s="1">
        <v>21150</v>
      </c>
      <c r="D50" s="1">
        <v>21240</v>
      </c>
      <c r="E50" s="1">
        <v>21130</v>
      </c>
      <c r="F50" s="6">
        <f t="shared" si="0"/>
        <v>397163120.5673759</v>
      </c>
      <c r="G50" s="6">
        <f t="shared" si="1"/>
        <v>395480225.98870057</v>
      </c>
      <c r="H50" s="6">
        <f t="shared" si="2"/>
        <v>397539044.0132513</v>
      </c>
      <c r="I50" s="6">
        <f t="shared" si="3"/>
        <v>9456264.7754137125</v>
      </c>
      <c r="J50" s="6">
        <f t="shared" si="4"/>
        <v>9416195.8568738233</v>
      </c>
      <c r="K50" s="6">
        <f t="shared" si="5"/>
        <v>9465215.33364884</v>
      </c>
      <c r="L50" s="6">
        <f t="shared" si="12"/>
        <v>397620117.88711274</v>
      </c>
      <c r="M50" s="6">
        <f t="shared" si="7"/>
        <v>9467145.6639788747</v>
      </c>
      <c r="N50" s="6"/>
      <c r="O50" s="10">
        <f t="shared" si="8"/>
        <v>396.72746352310924</v>
      </c>
      <c r="P50" s="10">
        <f t="shared" si="9"/>
        <v>9.4458919886454584</v>
      </c>
      <c r="Q50" s="10">
        <f t="shared" si="10"/>
        <v>397.62011788711271</v>
      </c>
      <c r="R50" s="10">
        <f t="shared" si="10"/>
        <v>9.467145663978874</v>
      </c>
      <c r="S50" s="6"/>
    </row>
    <row r="51" spans="1:21" x14ac:dyDescent="0.25">
      <c r="A51">
        <v>43</v>
      </c>
      <c r="B51" s="1">
        <f t="shared" si="11"/>
        <v>4300000000</v>
      </c>
      <c r="C51" s="1">
        <v>20880</v>
      </c>
      <c r="D51" s="1">
        <v>21710</v>
      </c>
      <c r="E51" s="1">
        <v>21440</v>
      </c>
      <c r="F51" s="6">
        <f t="shared" si="0"/>
        <v>411877394.63601536</v>
      </c>
      <c r="G51" s="6">
        <f t="shared" si="1"/>
        <v>396130815.29249191</v>
      </c>
      <c r="H51" s="6">
        <f t="shared" si="2"/>
        <v>401119402.98507464</v>
      </c>
      <c r="I51" s="6">
        <f t="shared" si="3"/>
        <v>9578544.0613026824</v>
      </c>
      <c r="J51" s="6">
        <f t="shared" si="4"/>
        <v>9212344.5416858587</v>
      </c>
      <c r="K51" s="6">
        <f t="shared" si="5"/>
        <v>9328358.2089552246</v>
      </c>
      <c r="L51" s="6">
        <f t="shared" si="12"/>
        <v>402038119.19696957</v>
      </c>
      <c r="M51" s="6">
        <f t="shared" si="7"/>
        <v>9349723.7022551056</v>
      </c>
      <c r="N51" s="6"/>
      <c r="O51" s="10">
        <f t="shared" si="8"/>
        <v>403.04253763786062</v>
      </c>
      <c r="P51" s="10">
        <f t="shared" si="9"/>
        <v>9.373082270647922</v>
      </c>
      <c r="Q51" s="10">
        <f t="shared" si="10"/>
        <v>402.03811919696955</v>
      </c>
      <c r="R51" s="10">
        <f t="shared" si="10"/>
        <v>9.3497237022551047</v>
      </c>
      <c r="S51" s="6"/>
    </row>
    <row r="52" spans="1:21" x14ac:dyDescent="0.25">
      <c r="A52">
        <v>44</v>
      </c>
      <c r="B52" s="1">
        <f t="shared" si="11"/>
        <v>4400000000</v>
      </c>
      <c r="C52" s="1">
        <v>21680</v>
      </c>
      <c r="D52" s="1">
        <v>22310</v>
      </c>
      <c r="E52" s="1">
        <v>21780</v>
      </c>
      <c r="F52" s="6">
        <f t="shared" si="0"/>
        <v>405904059.04059041</v>
      </c>
      <c r="G52" s="6">
        <f t="shared" si="1"/>
        <v>394441954.28059167</v>
      </c>
      <c r="H52" s="6">
        <f t="shared" si="2"/>
        <v>404040404.04040402</v>
      </c>
      <c r="I52" s="6">
        <f t="shared" si="3"/>
        <v>9225092.2509225085</v>
      </c>
      <c r="J52" s="6">
        <f t="shared" si="4"/>
        <v>8964589.8700134475</v>
      </c>
      <c r="K52" s="6">
        <f t="shared" si="5"/>
        <v>9182736.4554637279</v>
      </c>
      <c r="L52" s="6">
        <f t="shared" si="12"/>
        <v>406456120.50682634</v>
      </c>
      <c r="M52" s="6">
        <f t="shared" si="7"/>
        <v>9237639.1024278719</v>
      </c>
      <c r="N52" s="6"/>
      <c r="O52" s="10">
        <f t="shared" si="8"/>
        <v>401.46213912052872</v>
      </c>
      <c r="P52" s="10">
        <f t="shared" si="9"/>
        <v>9.1241395254665605</v>
      </c>
      <c r="Q52" s="10">
        <f t="shared" si="10"/>
        <v>406.45612050682632</v>
      </c>
      <c r="R52" s="10">
        <f t="shared" si="10"/>
        <v>9.2376391024278721</v>
      </c>
      <c r="S52" s="6"/>
    </row>
    <row r="53" spans="1:21" x14ac:dyDescent="0.25">
      <c r="A53">
        <v>45</v>
      </c>
      <c r="B53" s="1">
        <f t="shared" si="11"/>
        <v>4500000000</v>
      </c>
      <c r="C53" s="1">
        <v>21730</v>
      </c>
      <c r="D53" s="1">
        <v>21880</v>
      </c>
      <c r="E53" s="1">
        <v>21620</v>
      </c>
      <c r="F53" s="6">
        <f t="shared" si="0"/>
        <v>414173953.06028533</v>
      </c>
      <c r="G53" s="6">
        <f t="shared" si="1"/>
        <v>411334552.10237658</v>
      </c>
      <c r="H53" s="6">
        <f t="shared" si="2"/>
        <v>416281221.09158188</v>
      </c>
      <c r="I53" s="6">
        <f t="shared" si="3"/>
        <v>9203865.6235618964</v>
      </c>
      <c r="J53" s="6">
        <f t="shared" si="4"/>
        <v>9140767.8244972564</v>
      </c>
      <c r="K53" s="6">
        <f t="shared" si="5"/>
        <v>9250693.8020351529</v>
      </c>
      <c r="L53" s="6">
        <f t="shared" si="12"/>
        <v>410874121.81668317</v>
      </c>
      <c r="M53" s="6">
        <f t="shared" si="7"/>
        <v>9130536.0403707363</v>
      </c>
      <c r="N53" s="6"/>
      <c r="O53" s="10">
        <f t="shared" si="8"/>
        <v>413.92990875141459</v>
      </c>
      <c r="P53" s="10">
        <f t="shared" si="9"/>
        <v>9.1984424166981018</v>
      </c>
      <c r="Q53" s="10">
        <f t="shared" si="10"/>
        <v>410.87412181668316</v>
      </c>
      <c r="R53" s="10">
        <f t="shared" si="10"/>
        <v>9.1305360403707354</v>
      </c>
      <c r="S53" s="6"/>
    </row>
    <row r="54" spans="1:21" x14ac:dyDescent="0.25">
      <c r="A54">
        <v>46</v>
      </c>
      <c r="B54" s="1">
        <f t="shared" si="11"/>
        <v>4600000000</v>
      </c>
      <c r="C54" s="1">
        <v>22180</v>
      </c>
      <c r="D54" s="1">
        <v>22500</v>
      </c>
      <c r="E54" s="1">
        <v>22230</v>
      </c>
      <c r="F54" s="6">
        <f t="shared" si="0"/>
        <v>414788097.38503158</v>
      </c>
      <c r="G54" s="6">
        <f t="shared" si="1"/>
        <v>408888888.8888889</v>
      </c>
      <c r="H54" s="6">
        <f t="shared" si="2"/>
        <v>413855150.69725597</v>
      </c>
      <c r="I54" s="6">
        <f t="shared" si="3"/>
        <v>9017132.5518485121</v>
      </c>
      <c r="J54" s="6">
        <f t="shared" si="4"/>
        <v>8888888.8888888899</v>
      </c>
      <c r="K54" s="6">
        <f t="shared" si="5"/>
        <v>8996851.1021142602</v>
      </c>
      <c r="L54" s="6">
        <f t="shared" si="12"/>
        <v>415292123.12653995</v>
      </c>
      <c r="M54" s="6">
        <f t="shared" si="7"/>
        <v>9028089.6331856512</v>
      </c>
      <c r="N54" s="6"/>
      <c r="O54" s="10">
        <f t="shared" si="8"/>
        <v>412.5107123237255</v>
      </c>
      <c r="P54" s="10">
        <f t="shared" si="9"/>
        <v>8.9676241809505548</v>
      </c>
      <c r="Q54" s="10">
        <f t="shared" si="10"/>
        <v>415.29212312653993</v>
      </c>
      <c r="R54" s="10">
        <f t="shared" si="10"/>
        <v>9.0280896331856511</v>
      </c>
      <c r="S54" s="6"/>
    </row>
    <row r="55" spans="1:21" x14ac:dyDescent="0.25">
      <c r="A55">
        <v>47</v>
      </c>
      <c r="B55" s="1">
        <f t="shared" si="11"/>
        <v>4700000000</v>
      </c>
      <c r="C55" s="1">
        <v>22710</v>
      </c>
      <c r="D55" s="1">
        <v>22970</v>
      </c>
      <c r="E55" s="1">
        <v>22150</v>
      </c>
      <c r="F55" s="6">
        <f t="shared" si="0"/>
        <v>413914575.07705855</v>
      </c>
      <c r="G55" s="6">
        <f t="shared" si="1"/>
        <v>409229429.69090116</v>
      </c>
      <c r="H55" s="6">
        <f t="shared" si="2"/>
        <v>424379232.50564331</v>
      </c>
      <c r="I55" s="6">
        <f t="shared" si="3"/>
        <v>8806693.0867459271</v>
      </c>
      <c r="J55" s="6">
        <f t="shared" si="4"/>
        <v>8707009.1423595995</v>
      </c>
      <c r="K55" s="6">
        <f t="shared" si="5"/>
        <v>9029345.3724604957</v>
      </c>
      <c r="L55" s="6">
        <f t="shared" si="12"/>
        <v>419710124.43639678</v>
      </c>
      <c r="M55" s="6">
        <f t="shared" si="7"/>
        <v>8930002.647582911</v>
      </c>
      <c r="N55" s="6"/>
      <c r="O55" s="10">
        <f t="shared" si="8"/>
        <v>415.84107909120098</v>
      </c>
      <c r="P55" s="10">
        <f t="shared" si="9"/>
        <v>8.8476825338553393</v>
      </c>
      <c r="Q55" s="10">
        <f t="shared" si="10"/>
        <v>419.71012443639677</v>
      </c>
      <c r="R55" s="10">
        <f t="shared" si="10"/>
        <v>8.9300026475829117</v>
      </c>
      <c r="S55" s="6"/>
    </row>
    <row r="56" spans="1:21" x14ac:dyDescent="0.25">
      <c r="A56">
        <v>48</v>
      </c>
      <c r="B56" s="1">
        <f t="shared" si="11"/>
        <v>4800000000</v>
      </c>
      <c r="C56" s="1">
        <v>22330</v>
      </c>
      <c r="D56" s="1">
        <v>22810</v>
      </c>
      <c r="E56" s="1">
        <v>23210</v>
      </c>
      <c r="F56" s="6">
        <f t="shared" si="0"/>
        <v>429914912.67353338</v>
      </c>
      <c r="G56" s="6">
        <f t="shared" si="1"/>
        <v>420868040.33318722</v>
      </c>
      <c r="H56" s="6">
        <f t="shared" si="2"/>
        <v>413614821.19775957</v>
      </c>
      <c r="I56" s="6">
        <f t="shared" si="3"/>
        <v>8956560.6806986127</v>
      </c>
      <c r="J56" s="6">
        <f t="shared" si="4"/>
        <v>8768084.1736080665</v>
      </c>
      <c r="K56" s="6">
        <f t="shared" si="5"/>
        <v>8616975.4416199904</v>
      </c>
      <c r="L56" s="6">
        <f t="shared" si="12"/>
        <v>424128125.74625361</v>
      </c>
      <c r="M56" s="6">
        <f t="shared" si="7"/>
        <v>8836002.6197136175</v>
      </c>
      <c r="N56" s="6"/>
      <c r="O56" s="10">
        <f t="shared" si="8"/>
        <v>421.46592473482673</v>
      </c>
      <c r="P56" s="10">
        <f t="shared" si="9"/>
        <v>8.7805400986422217</v>
      </c>
      <c r="Q56" s="10">
        <f t="shared" si="10"/>
        <v>424.1281257462536</v>
      </c>
      <c r="R56" s="10">
        <f t="shared" si="10"/>
        <v>8.8360026197136179</v>
      </c>
      <c r="S56" s="6"/>
    </row>
    <row r="57" spans="1:21" x14ac:dyDescent="0.25">
      <c r="A57">
        <v>49</v>
      </c>
      <c r="B57" s="1">
        <f t="shared" si="11"/>
        <v>4900000000</v>
      </c>
      <c r="C57" s="1">
        <v>23100</v>
      </c>
      <c r="D57" s="1">
        <v>23290</v>
      </c>
      <c r="E57" s="1">
        <v>23380</v>
      </c>
      <c r="F57" s="6">
        <f t="shared" si="0"/>
        <v>424242424.24242425</v>
      </c>
      <c r="G57" s="6">
        <f t="shared" si="1"/>
        <v>420781451.26663804</v>
      </c>
      <c r="H57" s="6">
        <f t="shared" si="2"/>
        <v>419161676.64670658</v>
      </c>
      <c r="I57" s="6">
        <f t="shared" si="3"/>
        <v>8658008.6580086574</v>
      </c>
      <c r="J57" s="6">
        <f t="shared" si="4"/>
        <v>8587376.5564620011</v>
      </c>
      <c r="K57" s="6">
        <f t="shared" si="5"/>
        <v>8554319.9315654412</v>
      </c>
      <c r="L57" s="6">
        <f t="shared" si="12"/>
        <v>428546127.05611038</v>
      </c>
      <c r="M57" s="6">
        <f t="shared" si="7"/>
        <v>8745839.3276757225</v>
      </c>
      <c r="N57" s="6"/>
      <c r="O57" s="10">
        <f t="shared" si="8"/>
        <v>421.39518405192297</v>
      </c>
      <c r="P57" s="10">
        <f t="shared" si="9"/>
        <v>8.5999017153453661</v>
      </c>
      <c r="Q57" s="10">
        <f t="shared" si="10"/>
        <v>428.54612705611038</v>
      </c>
      <c r="R57" s="10">
        <f t="shared" si="10"/>
        <v>8.7458393276757231</v>
      </c>
      <c r="S57" s="6"/>
    </row>
    <row r="58" spans="1:21" x14ac:dyDescent="0.25">
      <c r="A58">
        <v>50</v>
      </c>
      <c r="B58" s="1">
        <f t="shared" si="11"/>
        <v>5000000000</v>
      </c>
      <c r="C58" s="1">
        <v>22940</v>
      </c>
      <c r="D58" s="1">
        <v>23590</v>
      </c>
      <c r="E58" s="1">
        <v>23290</v>
      </c>
      <c r="F58" s="6">
        <f t="shared" si="0"/>
        <v>435919790.75850046</v>
      </c>
      <c r="G58" s="6">
        <f t="shared" si="1"/>
        <v>423908435.77787197</v>
      </c>
      <c r="H58" s="6">
        <f t="shared" si="2"/>
        <v>429368827.82310003</v>
      </c>
      <c r="I58" s="6">
        <f t="shared" si="3"/>
        <v>8718395.8151700087</v>
      </c>
      <c r="J58" s="6">
        <f t="shared" si="4"/>
        <v>8478168.7155574393</v>
      </c>
      <c r="K58" s="6">
        <f t="shared" si="5"/>
        <v>8587376.5564620011</v>
      </c>
      <c r="L58" s="6">
        <f t="shared" si="12"/>
        <v>432964128.36596721</v>
      </c>
      <c r="M58" s="6">
        <f t="shared" si="7"/>
        <v>8659282.5673193447</v>
      </c>
      <c r="N58" s="6"/>
      <c r="O58" s="10">
        <f t="shared" si="8"/>
        <v>429.73235145315749</v>
      </c>
      <c r="P58" s="10">
        <f t="shared" si="9"/>
        <v>8.5946470290631485</v>
      </c>
      <c r="Q58" s="10">
        <f t="shared" si="10"/>
        <v>432.96412836596721</v>
      </c>
      <c r="R58" s="10">
        <f t="shared" si="10"/>
        <v>8.6592825673193445</v>
      </c>
      <c r="S58" s="6"/>
    </row>
    <row r="59" spans="1:21" x14ac:dyDescent="0.25">
      <c r="A59">
        <v>51</v>
      </c>
      <c r="B59" s="1">
        <f t="shared" si="11"/>
        <v>5100000000</v>
      </c>
      <c r="C59" s="1">
        <v>23590</v>
      </c>
      <c r="D59" s="1">
        <v>23210</v>
      </c>
      <c r="E59" s="1">
        <v>23610</v>
      </c>
      <c r="F59" s="6">
        <f t="shared" si="0"/>
        <v>432386604.49342942</v>
      </c>
      <c r="G59" s="6">
        <f t="shared" si="1"/>
        <v>439465747.52261955</v>
      </c>
      <c r="H59" s="6">
        <f t="shared" si="2"/>
        <v>432020330.36848789</v>
      </c>
      <c r="I59" s="6">
        <f t="shared" si="3"/>
        <v>8478168.7155574393</v>
      </c>
      <c r="J59" s="6">
        <f t="shared" si="4"/>
        <v>8616975.4416199904</v>
      </c>
      <c r="K59" s="6">
        <f t="shared" si="5"/>
        <v>8470986.8699703515</v>
      </c>
      <c r="L59" s="6">
        <f t="shared" si="12"/>
        <v>437382129.67582405</v>
      </c>
      <c r="M59" s="6">
        <f t="shared" si="7"/>
        <v>8576120.1897220407</v>
      </c>
      <c r="N59" s="6"/>
      <c r="O59" s="10">
        <f t="shared" si="8"/>
        <v>434.62422746151225</v>
      </c>
      <c r="P59" s="10">
        <f t="shared" si="9"/>
        <v>8.5220436757159277</v>
      </c>
      <c r="Q59" s="10">
        <f t="shared" si="10"/>
        <v>437.38212967582405</v>
      </c>
      <c r="R59" s="10">
        <f t="shared" si="10"/>
        <v>8.5761201897220403</v>
      </c>
      <c r="S59" s="6"/>
    </row>
    <row r="60" spans="1:21" x14ac:dyDescent="0.25">
      <c r="A60">
        <v>52</v>
      </c>
      <c r="B60" s="1">
        <f t="shared" si="11"/>
        <v>5200000000</v>
      </c>
      <c r="C60" s="1">
        <v>23590</v>
      </c>
      <c r="D60" s="1">
        <v>23480</v>
      </c>
      <c r="E60" s="1">
        <v>23710</v>
      </c>
      <c r="F60" s="6">
        <f t="shared" si="0"/>
        <v>440864773.20898688</v>
      </c>
      <c r="G60" s="6">
        <f t="shared" si="1"/>
        <v>442930153.32197613</v>
      </c>
      <c r="H60" s="6">
        <f t="shared" si="2"/>
        <v>438633487.9797554</v>
      </c>
      <c r="I60" s="6">
        <f t="shared" si="3"/>
        <v>8478168.7155574393</v>
      </c>
      <c r="J60" s="6">
        <f t="shared" si="4"/>
        <v>8517887.5638841558</v>
      </c>
      <c r="K60" s="6">
        <f t="shared" si="5"/>
        <v>8435259.3842260651</v>
      </c>
      <c r="L60" s="6">
        <f t="shared" si="12"/>
        <v>441800130.98568082</v>
      </c>
      <c r="M60" s="6">
        <f t="shared" si="7"/>
        <v>8496156.3651092462</v>
      </c>
      <c r="N60" s="6"/>
      <c r="O60" s="10">
        <f t="shared" si="8"/>
        <v>440.80947150357275</v>
      </c>
      <c r="P60" s="10">
        <f t="shared" si="9"/>
        <v>8.4771052212225531</v>
      </c>
      <c r="Q60" s="10">
        <f t="shared" si="10"/>
        <v>441.80013098568082</v>
      </c>
      <c r="R60" s="10">
        <f t="shared" si="10"/>
        <v>8.4961563651092469</v>
      </c>
      <c r="S60" s="6"/>
      <c r="U60" t="s">
        <v>10</v>
      </c>
    </row>
    <row r="61" spans="1:21" x14ac:dyDescent="0.25">
      <c r="A61">
        <v>53</v>
      </c>
      <c r="B61" s="1">
        <f t="shared" si="11"/>
        <v>5300000000</v>
      </c>
      <c r="C61" s="1">
        <v>23910</v>
      </c>
      <c r="D61" s="1">
        <v>23420</v>
      </c>
      <c r="E61" s="1">
        <v>23680</v>
      </c>
      <c r="F61" s="6">
        <f t="shared" si="0"/>
        <v>443329150.9828524</v>
      </c>
      <c r="G61" s="6">
        <f t="shared" si="1"/>
        <v>452604611.4432109</v>
      </c>
      <c r="H61" s="6">
        <f t="shared" si="2"/>
        <v>447635135.13513517</v>
      </c>
      <c r="I61" s="6">
        <f t="shared" si="3"/>
        <v>8364700.9619406117</v>
      </c>
      <c r="J61" s="6">
        <f t="shared" si="4"/>
        <v>8539709.6498719044</v>
      </c>
      <c r="K61" s="6">
        <f t="shared" si="5"/>
        <v>8445945.9459459465</v>
      </c>
      <c r="L61" s="6">
        <f t="shared" si="12"/>
        <v>446218132.29553765</v>
      </c>
      <c r="M61" s="6">
        <f t="shared" si="7"/>
        <v>8419210.0433120318</v>
      </c>
      <c r="N61" s="6"/>
      <c r="O61" s="10">
        <f t="shared" si="8"/>
        <v>447.85629918706616</v>
      </c>
      <c r="P61" s="10">
        <f t="shared" si="9"/>
        <v>8.4501188525861561</v>
      </c>
      <c r="Q61" s="10">
        <f t="shared" si="10"/>
        <v>446.21813229553766</v>
      </c>
      <c r="R61" s="10">
        <f t="shared" si="10"/>
        <v>8.4192100433120309</v>
      </c>
      <c r="S61" s="6"/>
    </row>
    <row r="62" spans="1:21" x14ac:dyDescent="0.25">
      <c r="A62">
        <v>54</v>
      </c>
      <c r="B62" s="1">
        <f t="shared" si="11"/>
        <v>5400000000</v>
      </c>
      <c r="C62" s="1">
        <v>23660</v>
      </c>
      <c r="D62" s="1">
        <v>23710</v>
      </c>
      <c r="E62" s="1">
        <v>23460</v>
      </c>
      <c r="F62" s="6">
        <f t="shared" si="0"/>
        <v>456466610.31276417</v>
      </c>
      <c r="G62" s="6">
        <f t="shared" si="1"/>
        <v>455504006.74820751</v>
      </c>
      <c r="H62" s="6">
        <f t="shared" si="2"/>
        <v>460358056.26598465</v>
      </c>
      <c r="I62" s="6">
        <f t="shared" si="3"/>
        <v>8453085.3761622999</v>
      </c>
      <c r="J62" s="6">
        <f t="shared" si="4"/>
        <v>8435259.3842260651</v>
      </c>
      <c r="K62" s="6">
        <f t="shared" si="5"/>
        <v>8525149.1901108269</v>
      </c>
      <c r="L62" s="6">
        <f t="shared" si="12"/>
        <v>450636133.60539442</v>
      </c>
      <c r="M62" s="6">
        <f t="shared" si="7"/>
        <v>8345113.5852850815</v>
      </c>
      <c r="N62" s="6"/>
      <c r="O62" s="10">
        <f t="shared" si="8"/>
        <v>457.44289110898541</v>
      </c>
      <c r="P62" s="10">
        <f t="shared" si="9"/>
        <v>8.4711646501663971</v>
      </c>
      <c r="Q62" s="10">
        <f t="shared" si="10"/>
        <v>450.63613360539443</v>
      </c>
      <c r="R62" s="10">
        <f t="shared" si="10"/>
        <v>8.3451135852850822</v>
      </c>
      <c r="S62" s="6"/>
      <c r="U62" t="s">
        <v>9</v>
      </c>
    </row>
    <row r="63" spans="1:21" x14ac:dyDescent="0.25">
      <c r="A63">
        <v>55</v>
      </c>
      <c r="B63" s="1">
        <f t="shared" si="11"/>
        <v>5500000000</v>
      </c>
      <c r="C63" s="1">
        <v>23870</v>
      </c>
      <c r="D63" s="1">
        <v>23880</v>
      </c>
      <c r="E63" s="1">
        <v>29800</v>
      </c>
      <c r="F63" s="6">
        <f t="shared" si="0"/>
        <v>460829493.08755761</v>
      </c>
      <c r="G63" s="6">
        <f t="shared" si="1"/>
        <v>460636515.91289783</v>
      </c>
      <c r="H63" s="6">
        <f t="shared" si="2"/>
        <v>369127516.7785235</v>
      </c>
      <c r="I63" s="6">
        <f t="shared" si="3"/>
        <v>8378718.0561374109</v>
      </c>
      <c r="J63" s="6">
        <f t="shared" si="4"/>
        <v>8375209.380234506</v>
      </c>
      <c r="K63" s="6">
        <f t="shared" si="5"/>
        <v>6711409.3959731543</v>
      </c>
      <c r="L63" s="6">
        <f t="shared" si="12"/>
        <v>455054134.91525126</v>
      </c>
      <c r="M63" s="6">
        <f t="shared" si="7"/>
        <v>8273711.5439136596</v>
      </c>
      <c r="N63" s="6"/>
      <c r="O63" s="10">
        <f t="shared" si="8"/>
        <v>430.19784192632625</v>
      </c>
      <c r="P63" s="10">
        <f t="shared" si="9"/>
        <v>7.8217789441150245</v>
      </c>
      <c r="Q63" s="10">
        <f t="shared" si="10"/>
        <v>455.05413491525127</v>
      </c>
      <c r="R63" s="10">
        <f t="shared" si="10"/>
        <v>8.2737115439136595</v>
      </c>
      <c r="S63" s="6"/>
    </row>
    <row r="64" spans="1:21" x14ac:dyDescent="0.25">
      <c r="A64">
        <v>56</v>
      </c>
      <c r="B64" s="1">
        <f t="shared" si="11"/>
        <v>5600000000</v>
      </c>
      <c r="C64" s="1">
        <v>24410</v>
      </c>
      <c r="D64" s="1">
        <v>23890</v>
      </c>
      <c r="E64" s="1">
        <v>24380</v>
      </c>
      <c r="F64" s="6">
        <f t="shared" si="0"/>
        <v>458828349.03727978</v>
      </c>
      <c r="G64" s="6">
        <f t="shared" si="1"/>
        <v>468815403.93470073</v>
      </c>
      <c r="H64" s="6">
        <f t="shared" si="2"/>
        <v>459392945.03691548</v>
      </c>
      <c r="I64" s="6">
        <f t="shared" si="3"/>
        <v>8193363.3756657103</v>
      </c>
      <c r="J64" s="6">
        <f t="shared" si="4"/>
        <v>8371703.641691084</v>
      </c>
      <c r="K64" s="6">
        <f t="shared" si="5"/>
        <v>8203445.4470877768</v>
      </c>
      <c r="L64" s="6">
        <f t="shared" si="12"/>
        <v>459472136.22510803</v>
      </c>
      <c r="M64" s="6">
        <f t="shared" si="7"/>
        <v>8204859.5754483575</v>
      </c>
      <c r="N64" s="6"/>
      <c r="O64" s="10">
        <f t="shared" si="8"/>
        <v>462.34556600296537</v>
      </c>
      <c r="P64" s="10">
        <f t="shared" si="9"/>
        <v>8.2561708214815237</v>
      </c>
      <c r="Q64" s="10">
        <f t="shared" si="10"/>
        <v>459.47213622510804</v>
      </c>
      <c r="R64" s="10">
        <f t="shared" si="10"/>
        <v>8.2048595754483582</v>
      </c>
      <c r="S64" s="6"/>
    </row>
    <row r="65" spans="1:19" x14ac:dyDescent="0.25">
      <c r="A65">
        <v>57</v>
      </c>
      <c r="B65" s="1">
        <f t="shared" si="11"/>
        <v>5700000000</v>
      </c>
      <c r="C65" s="1">
        <v>24740</v>
      </c>
      <c r="D65" s="1">
        <v>24450</v>
      </c>
      <c r="E65" s="1">
        <v>24550</v>
      </c>
      <c r="F65" s="6">
        <f t="shared" si="0"/>
        <v>460792239.28860146</v>
      </c>
      <c r="G65" s="6">
        <f t="shared" si="1"/>
        <v>466257668.71165639</v>
      </c>
      <c r="H65" s="6">
        <f t="shared" si="2"/>
        <v>464358452.13849288</v>
      </c>
      <c r="I65" s="6">
        <f t="shared" si="3"/>
        <v>8084074.3734842362</v>
      </c>
      <c r="J65" s="6">
        <f t="shared" si="4"/>
        <v>8179959.1002044985</v>
      </c>
      <c r="K65" s="6">
        <f t="shared" si="5"/>
        <v>8146639.5112016294</v>
      </c>
      <c r="L65" s="6">
        <f t="shared" si="12"/>
        <v>463890137.53496486</v>
      </c>
      <c r="M65" s="6">
        <f t="shared" si="7"/>
        <v>8138423.4655256988</v>
      </c>
      <c r="N65" s="6"/>
      <c r="O65" s="10">
        <f t="shared" si="8"/>
        <v>463.80278671291688</v>
      </c>
      <c r="P65" s="10">
        <f t="shared" si="9"/>
        <v>8.1368909949634549</v>
      </c>
      <c r="Q65" s="10">
        <f t="shared" si="10"/>
        <v>463.89013753496488</v>
      </c>
      <c r="R65" s="10">
        <f t="shared" si="10"/>
        <v>8.1384234655256993</v>
      </c>
      <c r="S65" s="6"/>
    </row>
    <row r="66" spans="1:19" x14ac:dyDescent="0.25">
      <c r="A66">
        <v>58</v>
      </c>
      <c r="B66" s="1">
        <f t="shared" si="11"/>
        <v>5800000000</v>
      </c>
      <c r="C66" s="1">
        <v>25030</v>
      </c>
      <c r="D66" s="1">
        <v>24630</v>
      </c>
      <c r="E66" s="1">
        <v>25080</v>
      </c>
      <c r="F66" s="6">
        <f t="shared" si="0"/>
        <v>463443867.35916901</v>
      </c>
      <c r="G66" s="6">
        <f t="shared" si="1"/>
        <v>470970361.34794968</v>
      </c>
      <c r="H66" s="6">
        <f t="shared" si="2"/>
        <v>462519936.20414668</v>
      </c>
      <c r="I66" s="6">
        <f t="shared" si="3"/>
        <v>7990411.5061925687</v>
      </c>
      <c r="J66" s="6">
        <f t="shared" si="4"/>
        <v>8120178.643930167</v>
      </c>
      <c r="K66" s="6">
        <f t="shared" si="5"/>
        <v>7974481.6586921839</v>
      </c>
      <c r="L66" s="6">
        <f t="shared" si="12"/>
        <v>468308138.84482169</v>
      </c>
      <c r="M66" s="6">
        <f t="shared" si="7"/>
        <v>8074278.255945202</v>
      </c>
      <c r="N66" s="6"/>
      <c r="O66" s="10">
        <f t="shared" si="8"/>
        <v>465.64472163708848</v>
      </c>
      <c r="P66" s="10">
        <f t="shared" si="9"/>
        <v>8.0283572696049728</v>
      </c>
      <c r="Q66" s="10">
        <f t="shared" si="10"/>
        <v>468.30813884482171</v>
      </c>
      <c r="R66" s="10">
        <f t="shared" si="10"/>
        <v>8.0742782559452024</v>
      </c>
      <c r="S66" s="6"/>
    </row>
    <row r="67" spans="1:19" x14ac:dyDescent="0.25">
      <c r="A67">
        <v>59</v>
      </c>
      <c r="B67" s="1">
        <f t="shared" si="11"/>
        <v>5900000000</v>
      </c>
      <c r="C67" s="1">
        <v>25330</v>
      </c>
      <c r="D67" s="1">
        <v>25070</v>
      </c>
      <c r="E67" s="1">
        <v>25260</v>
      </c>
      <c r="F67" s="6">
        <f t="shared" si="0"/>
        <v>465850769.83813661</v>
      </c>
      <c r="G67" s="6">
        <f t="shared" si="1"/>
        <v>470682090.14758676</v>
      </c>
      <c r="H67" s="6">
        <f t="shared" si="2"/>
        <v>467141726.04908943</v>
      </c>
      <c r="I67" s="6">
        <f t="shared" si="3"/>
        <v>7895775.7599684168</v>
      </c>
      <c r="J67" s="6">
        <f t="shared" si="4"/>
        <v>7977662.5448743515</v>
      </c>
      <c r="K67" s="6">
        <f t="shared" si="5"/>
        <v>7917656.3737133807</v>
      </c>
      <c r="L67" s="6">
        <f t="shared" si="12"/>
        <v>472726140.15467846</v>
      </c>
      <c r="M67" s="6">
        <f t="shared" si="7"/>
        <v>8012307.4602487879</v>
      </c>
      <c r="N67" s="6"/>
      <c r="O67" s="10">
        <f t="shared" si="8"/>
        <v>467.89152867827102</v>
      </c>
      <c r="P67" s="10">
        <f t="shared" si="9"/>
        <v>7.9303648928520492</v>
      </c>
      <c r="Q67" s="10">
        <f t="shared" si="10"/>
        <v>472.72614015467849</v>
      </c>
      <c r="R67" s="10">
        <f t="shared" si="10"/>
        <v>8.0123074602487883</v>
      </c>
      <c r="S67" s="6"/>
    </row>
    <row r="68" spans="1:19" x14ac:dyDescent="0.25">
      <c r="A68">
        <v>60</v>
      </c>
      <c r="B68" s="1">
        <f t="shared" si="11"/>
        <v>6000000000</v>
      </c>
      <c r="C68" s="1">
        <v>25670</v>
      </c>
      <c r="D68" s="1">
        <v>25460</v>
      </c>
      <c r="E68" s="1">
        <v>25530</v>
      </c>
      <c r="F68" s="6">
        <f t="shared" si="0"/>
        <v>467471756.91468644</v>
      </c>
      <c r="G68" s="6">
        <f t="shared" si="1"/>
        <v>471327572.66300076</v>
      </c>
      <c r="H68" s="6">
        <f t="shared" si="2"/>
        <v>470035252.64394832</v>
      </c>
      <c r="I68" s="6">
        <f t="shared" si="3"/>
        <v>7791195.9485781072</v>
      </c>
      <c r="J68" s="6">
        <f t="shared" si="4"/>
        <v>7855459.5443833461</v>
      </c>
      <c r="K68" s="6">
        <f t="shared" si="5"/>
        <v>7833920.8773991382</v>
      </c>
      <c r="L68" s="6">
        <f t="shared" si="12"/>
        <v>477144141.4645353</v>
      </c>
      <c r="M68" s="6">
        <f t="shared" si="7"/>
        <v>7952402.3577422546</v>
      </c>
      <c r="N68" s="6"/>
      <c r="O68" s="10">
        <f t="shared" si="8"/>
        <v>469.61152740721184</v>
      </c>
      <c r="P68" s="10">
        <f t="shared" si="9"/>
        <v>7.8268587901201965</v>
      </c>
      <c r="Q68" s="10">
        <f t="shared" si="10"/>
        <v>477.14414146453532</v>
      </c>
      <c r="R68" s="10">
        <f t="shared" si="10"/>
        <v>7.9524023577422547</v>
      </c>
      <c r="S68" s="6"/>
    </row>
    <row r="69" spans="1:19" x14ac:dyDescent="0.25">
      <c r="A69">
        <v>61</v>
      </c>
      <c r="B69" s="1">
        <f t="shared" si="11"/>
        <v>6100000000</v>
      </c>
      <c r="C69" s="1">
        <v>25470</v>
      </c>
      <c r="D69" s="1">
        <v>25900</v>
      </c>
      <c r="E69" s="1">
        <v>25660</v>
      </c>
      <c r="F69" s="6">
        <f t="shared" si="0"/>
        <v>478994895.95602667</v>
      </c>
      <c r="G69" s="6">
        <f t="shared" si="1"/>
        <v>471042471.04247105</v>
      </c>
      <c r="H69" s="6">
        <f t="shared" si="2"/>
        <v>475448168.35541695</v>
      </c>
      <c r="I69" s="6">
        <f t="shared" si="3"/>
        <v>7852375.343541421</v>
      </c>
      <c r="J69" s="6">
        <f t="shared" si="4"/>
        <v>7722007.7220077226</v>
      </c>
      <c r="K69" s="6">
        <f t="shared" si="5"/>
        <v>7794232.268121589</v>
      </c>
      <c r="L69" s="6">
        <f t="shared" si="12"/>
        <v>481562142.77439207</v>
      </c>
      <c r="M69" s="6">
        <f t="shared" si="7"/>
        <v>7894461.3569572475</v>
      </c>
      <c r="N69" s="6"/>
      <c r="O69" s="10">
        <f t="shared" si="8"/>
        <v>475.16184511797161</v>
      </c>
      <c r="P69" s="10">
        <f t="shared" si="9"/>
        <v>7.7895384445569107</v>
      </c>
      <c r="Q69" s="10">
        <f t="shared" si="10"/>
        <v>481.56214277439204</v>
      </c>
      <c r="R69" s="10">
        <f t="shared" si="10"/>
        <v>7.8944613569572475</v>
      </c>
      <c r="S69" s="6"/>
    </row>
    <row r="70" spans="1:19" x14ac:dyDescent="0.25">
      <c r="A70">
        <v>62</v>
      </c>
      <c r="B70" s="1">
        <f t="shared" si="11"/>
        <v>6200000000</v>
      </c>
      <c r="C70" s="1">
        <v>25640</v>
      </c>
      <c r="D70" s="1">
        <v>25730</v>
      </c>
      <c r="E70" s="1">
        <v>25570</v>
      </c>
      <c r="F70" s="6">
        <f t="shared" si="0"/>
        <v>483619344.77379096</v>
      </c>
      <c r="G70" s="6">
        <f t="shared" si="1"/>
        <v>481927710.84337348</v>
      </c>
      <c r="H70" s="6">
        <f t="shared" si="2"/>
        <v>484943292.92139226</v>
      </c>
      <c r="I70" s="6">
        <f t="shared" si="3"/>
        <v>7800312.0124804992</v>
      </c>
      <c r="J70" s="6">
        <f t="shared" si="4"/>
        <v>7773027.5942479596</v>
      </c>
      <c r="K70" s="6">
        <f t="shared" si="5"/>
        <v>7821666.0148611655</v>
      </c>
      <c r="L70" s="6">
        <f t="shared" si="12"/>
        <v>485980144.0842489</v>
      </c>
      <c r="M70" s="6">
        <f t="shared" si="7"/>
        <v>7838389.420713692</v>
      </c>
      <c r="N70" s="6"/>
      <c r="O70" s="10">
        <f t="shared" si="8"/>
        <v>483.49678284618551</v>
      </c>
      <c r="P70" s="10">
        <f t="shared" si="9"/>
        <v>7.7983352071965415</v>
      </c>
      <c r="Q70" s="10">
        <f t="shared" si="10"/>
        <v>485.98014408424888</v>
      </c>
      <c r="R70" s="10">
        <f t="shared" si="10"/>
        <v>7.8383894207136917</v>
      </c>
      <c r="S70" s="6"/>
    </row>
    <row r="71" spans="1:19" x14ac:dyDescent="0.25">
      <c r="A71">
        <v>63</v>
      </c>
      <c r="B71" s="1">
        <f t="shared" si="11"/>
        <v>6300000000</v>
      </c>
      <c r="C71" s="1">
        <v>26150</v>
      </c>
      <c r="D71" s="1">
        <v>26060</v>
      </c>
      <c r="E71" s="1">
        <v>26490</v>
      </c>
      <c r="F71" s="6">
        <f t="shared" si="0"/>
        <v>481835564.05353725</v>
      </c>
      <c r="G71" s="6">
        <f t="shared" si="1"/>
        <v>483499616.27014583</v>
      </c>
      <c r="H71" s="6">
        <f t="shared" si="2"/>
        <v>475651189.12797284</v>
      </c>
      <c r="I71" s="6">
        <f t="shared" si="3"/>
        <v>7648183.5564053534</v>
      </c>
      <c r="J71" s="6">
        <f t="shared" si="4"/>
        <v>7674597.0836531082</v>
      </c>
      <c r="K71" s="6">
        <f t="shared" si="5"/>
        <v>7550018.8750471883</v>
      </c>
      <c r="L71" s="6">
        <f t="shared" si="12"/>
        <v>490398145.39410573</v>
      </c>
      <c r="M71" s="6">
        <f t="shared" si="7"/>
        <v>7784097.5459381863</v>
      </c>
      <c r="N71" s="6"/>
      <c r="O71" s="10">
        <f t="shared" si="8"/>
        <v>480.32878981721859</v>
      </c>
      <c r="P71" s="10">
        <f t="shared" si="9"/>
        <v>7.6242665050352167</v>
      </c>
      <c r="Q71" s="10">
        <f t="shared" si="10"/>
        <v>490.39814539410571</v>
      </c>
      <c r="R71" s="10">
        <f t="shared" si="10"/>
        <v>7.7840975459381863</v>
      </c>
      <c r="S71" s="6"/>
    </row>
    <row r="72" spans="1:19" x14ac:dyDescent="0.25">
      <c r="A72">
        <v>64</v>
      </c>
      <c r="B72" s="1">
        <f t="shared" si="11"/>
        <v>6400000000</v>
      </c>
      <c r="C72" s="1">
        <v>26130</v>
      </c>
      <c r="D72" s="1">
        <v>26100</v>
      </c>
      <c r="E72" s="1">
        <v>25600</v>
      </c>
      <c r="F72" s="6">
        <f t="shared" si="0"/>
        <v>489858400.30616152</v>
      </c>
      <c r="G72" s="6">
        <f t="shared" si="1"/>
        <v>490421455.93869734</v>
      </c>
      <c r="H72" s="6">
        <f t="shared" si="2"/>
        <v>500000000</v>
      </c>
      <c r="I72" s="6">
        <f t="shared" si="3"/>
        <v>7654037.5047837738</v>
      </c>
      <c r="J72" s="6">
        <f t="shared" si="4"/>
        <v>7662835.2490421459</v>
      </c>
      <c r="K72" s="6">
        <f t="shared" si="5"/>
        <v>7812500</v>
      </c>
      <c r="L72" s="6">
        <f t="shared" si="12"/>
        <v>494816146.70396256</v>
      </c>
      <c r="M72" s="6">
        <f t="shared" si="7"/>
        <v>7731502.2922494151</v>
      </c>
      <c r="N72" s="6"/>
      <c r="O72" s="10">
        <f t="shared" si="8"/>
        <v>493.42661874828627</v>
      </c>
      <c r="P72" s="10">
        <f t="shared" si="9"/>
        <v>7.709790917941973</v>
      </c>
      <c r="Q72" s="10">
        <f t="shared" si="10"/>
        <v>494.81614670396254</v>
      </c>
      <c r="R72" s="10">
        <f t="shared" si="10"/>
        <v>7.7315022922494148</v>
      </c>
      <c r="S72" s="6"/>
    </row>
    <row r="73" spans="1:19" x14ac:dyDescent="0.25">
      <c r="A73">
        <v>65</v>
      </c>
      <c r="B73" s="1">
        <f t="shared" si="11"/>
        <v>6500000000</v>
      </c>
      <c r="C73" s="1">
        <v>26810</v>
      </c>
      <c r="D73" s="1">
        <v>26140</v>
      </c>
      <c r="E73" s="1">
        <v>26650</v>
      </c>
      <c r="F73" s="6">
        <f t="shared" si="0"/>
        <v>484893696.38194704</v>
      </c>
      <c r="G73" s="6">
        <f t="shared" si="1"/>
        <v>497322111.70619738</v>
      </c>
      <c r="H73" s="6">
        <f t="shared" si="2"/>
        <v>487804878.0487805</v>
      </c>
      <c r="I73" s="6">
        <f t="shared" si="3"/>
        <v>7459903.0212607235</v>
      </c>
      <c r="J73" s="6">
        <f t="shared" si="4"/>
        <v>7651109.4108645748</v>
      </c>
      <c r="K73" s="6">
        <f t="shared" si="5"/>
        <v>7504690.4315197002</v>
      </c>
      <c r="L73" s="6">
        <f>$L$72</f>
        <v>494816146.70396256</v>
      </c>
      <c r="M73" s="6">
        <f t="shared" si="7"/>
        <v>7612556.1031378852</v>
      </c>
      <c r="N73" s="6"/>
      <c r="O73" s="10">
        <f t="shared" si="8"/>
        <v>490.00689537897495</v>
      </c>
      <c r="P73" s="10">
        <f t="shared" si="9"/>
        <v>7.5385676212149999</v>
      </c>
      <c r="Q73" s="10">
        <f t="shared" si="10"/>
        <v>494.81614670396254</v>
      </c>
      <c r="R73" s="10">
        <f t="shared" si="10"/>
        <v>7.6125561031378854</v>
      </c>
      <c r="S73" s="6"/>
    </row>
    <row r="74" spans="1:19" x14ac:dyDescent="0.25">
      <c r="A74">
        <v>66</v>
      </c>
      <c r="B74" s="1">
        <f t="shared" si="11"/>
        <v>6600000000</v>
      </c>
      <c r="C74" s="1">
        <v>27280</v>
      </c>
      <c r="D74" s="1">
        <v>26790</v>
      </c>
      <c r="E74" s="1">
        <v>27330</v>
      </c>
      <c r="F74" s="6">
        <f t="shared" ref="F74:F88" si="13">B74*2/C74*1000</f>
        <v>483870967.74193543</v>
      </c>
      <c r="G74" s="6">
        <f t="shared" ref="G74:G88" si="14">B74*2/D74*1000</f>
        <v>492721164.61366183</v>
      </c>
      <c r="H74" s="6">
        <f t="shared" ref="H74:H88" si="15">B74*2/E74*1000</f>
        <v>482985729.96706915</v>
      </c>
      <c r="I74" s="6">
        <f t="shared" ref="I74:I88" si="16">F74/A74</f>
        <v>7331378.2991202334</v>
      </c>
      <c r="J74" s="6">
        <f t="shared" ref="J74:J88" si="17">G74/A74</f>
        <v>7465472.1911160881</v>
      </c>
      <c r="K74" s="6">
        <f t="shared" ref="K74:K88" si="18">H74/A74</f>
        <v>7317965.6055616541</v>
      </c>
      <c r="L74" s="6">
        <f t="shared" ref="L74:L88" si="19">$L$72</f>
        <v>494816146.70396256</v>
      </c>
      <c r="M74" s="6">
        <f t="shared" si="7"/>
        <v>7497214.3439994324</v>
      </c>
      <c r="N74" s="6"/>
      <c r="O74" s="10">
        <f t="shared" ref="O74:O88" si="20">(F74+G74+H74)/3/1000000</f>
        <v>486.52595410755544</v>
      </c>
      <c r="P74" s="10">
        <f t="shared" ref="P74:P88" si="21">(I74+J74+K74)/3/1000000</f>
        <v>7.3716053652659914</v>
      </c>
      <c r="Q74" s="10">
        <f t="shared" ref="Q74:R88" si="22">L74/1000000</f>
        <v>494.81614670396254</v>
      </c>
      <c r="R74" s="10">
        <f t="shared" si="22"/>
        <v>7.4972143439994321</v>
      </c>
      <c r="S74" s="6"/>
    </row>
    <row r="75" spans="1:19" x14ac:dyDescent="0.25">
      <c r="A75">
        <v>67</v>
      </c>
      <c r="B75" s="1">
        <f t="shared" ref="B75:B88" si="23">$B$9*A75</f>
        <v>6700000000</v>
      </c>
      <c r="C75" s="1">
        <v>27540</v>
      </c>
      <c r="D75" s="1">
        <v>27250</v>
      </c>
      <c r="E75" s="1">
        <v>27960</v>
      </c>
      <c r="F75" s="6">
        <f t="shared" si="13"/>
        <v>486564996.36891794</v>
      </c>
      <c r="G75" s="6">
        <f t="shared" si="14"/>
        <v>491743119.26605505</v>
      </c>
      <c r="H75" s="6">
        <f t="shared" si="15"/>
        <v>479256080.1144492</v>
      </c>
      <c r="I75" s="6">
        <f t="shared" si="16"/>
        <v>7262164.1249092231</v>
      </c>
      <c r="J75" s="6">
        <f t="shared" si="17"/>
        <v>7339449.5412844038</v>
      </c>
      <c r="K75" s="6">
        <f t="shared" si="18"/>
        <v>7153075.8226037193</v>
      </c>
      <c r="L75" s="6">
        <f t="shared" si="19"/>
        <v>494816146.70396256</v>
      </c>
      <c r="M75" s="6">
        <f t="shared" ref="M75:M88" si="24">L75/A75</f>
        <v>7385315.6224472029</v>
      </c>
      <c r="N75" s="6"/>
      <c r="O75" s="10">
        <f t="shared" si="20"/>
        <v>485.85473191647412</v>
      </c>
      <c r="P75" s="10">
        <f t="shared" si="21"/>
        <v>7.251563162932448</v>
      </c>
      <c r="Q75" s="10">
        <f t="shared" si="22"/>
        <v>494.81614670396254</v>
      </c>
      <c r="R75" s="10">
        <f t="shared" si="22"/>
        <v>7.3853156224472025</v>
      </c>
      <c r="S75" s="6"/>
    </row>
    <row r="76" spans="1:19" x14ac:dyDescent="0.25">
      <c r="A76">
        <v>68</v>
      </c>
      <c r="B76" s="1">
        <f t="shared" si="23"/>
        <v>6800000000</v>
      </c>
      <c r="C76" s="1">
        <v>28200</v>
      </c>
      <c r="D76" s="1">
        <v>28340</v>
      </c>
      <c r="E76" s="1">
        <v>27840</v>
      </c>
      <c r="F76" s="6">
        <f t="shared" si="13"/>
        <v>482269503.54609931</v>
      </c>
      <c r="G76" s="6">
        <f t="shared" si="14"/>
        <v>479887085.39167255</v>
      </c>
      <c r="H76" s="6">
        <f t="shared" si="15"/>
        <v>488505747.12643677</v>
      </c>
      <c r="I76" s="6">
        <f t="shared" si="16"/>
        <v>7092198.5815602839</v>
      </c>
      <c r="J76" s="6">
        <f t="shared" si="17"/>
        <v>7057163.0204657726</v>
      </c>
      <c r="K76" s="6">
        <f t="shared" si="18"/>
        <v>7183908.0459770113</v>
      </c>
      <c r="L76" s="6">
        <f t="shared" si="19"/>
        <v>494816146.70396256</v>
      </c>
      <c r="M76" s="6">
        <f t="shared" si="24"/>
        <v>7276708.0397641556</v>
      </c>
      <c r="N76" s="6"/>
      <c r="O76" s="10">
        <f t="shared" si="20"/>
        <v>483.55411202140283</v>
      </c>
      <c r="P76" s="10">
        <f t="shared" si="21"/>
        <v>7.1110898826676898</v>
      </c>
      <c r="Q76" s="10">
        <f t="shared" si="22"/>
        <v>494.81614670396254</v>
      </c>
      <c r="R76" s="10">
        <f t="shared" si="22"/>
        <v>7.2767080397641557</v>
      </c>
      <c r="S76" s="6"/>
    </row>
    <row r="77" spans="1:19" x14ac:dyDescent="0.25">
      <c r="A77">
        <v>69</v>
      </c>
      <c r="B77" s="1">
        <f t="shared" si="23"/>
        <v>6900000000</v>
      </c>
      <c r="C77" s="1">
        <v>28140</v>
      </c>
      <c r="D77" s="1">
        <v>27950</v>
      </c>
      <c r="E77" s="1">
        <v>28610</v>
      </c>
      <c r="F77" s="6">
        <f t="shared" si="13"/>
        <v>490405117.27078891</v>
      </c>
      <c r="G77" s="6">
        <f t="shared" si="14"/>
        <v>493738819.32021469</v>
      </c>
      <c r="H77" s="6">
        <f t="shared" si="15"/>
        <v>482348829.08074099</v>
      </c>
      <c r="I77" s="6">
        <f t="shared" si="16"/>
        <v>7107320.5401563607</v>
      </c>
      <c r="J77" s="6">
        <f t="shared" si="17"/>
        <v>7155635.0626118071</v>
      </c>
      <c r="K77" s="6">
        <f t="shared" si="18"/>
        <v>6990562.7403005939</v>
      </c>
      <c r="L77" s="6">
        <f t="shared" si="19"/>
        <v>494816146.70396256</v>
      </c>
      <c r="M77" s="6">
        <f t="shared" si="24"/>
        <v>7171248.5029559787</v>
      </c>
      <c r="N77" s="6"/>
      <c r="O77" s="10">
        <f t="shared" si="20"/>
        <v>488.83092189058152</v>
      </c>
      <c r="P77" s="10">
        <f t="shared" si="21"/>
        <v>7.0845061143562544</v>
      </c>
      <c r="Q77" s="10">
        <f t="shared" si="22"/>
        <v>494.81614670396254</v>
      </c>
      <c r="R77" s="10">
        <f t="shared" si="22"/>
        <v>7.1712485029559785</v>
      </c>
      <c r="S77" s="6"/>
    </row>
    <row r="78" spans="1:19" x14ac:dyDescent="0.25">
      <c r="A78">
        <v>70</v>
      </c>
      <c r="B78" s="1">
        <f t="shared" si="23"/>
        <v>7000000000</v>
      </c>
      <c r="C78" s="1">
        <v>28260</v>
      </c>
      <c r="D78" s="1">
        <v>28510</v>
      </c>
      <c r="E78" s="1">
        <v>29290</v>
      </c>
      <c r="F78" s="6">
        <f t="shared" si="13"/>
        <v>495399858.4571833</v>
      </c>
      <c r="G78" s="6">
        <f t="shared" si="14"/>
        <v>491055769.90529639</v>
      </c>
      <c r="H78" s="6">
        <f t="shared" si="15"/>
        <v>477978832.36599523</v>
      </c>
      <c r="I78" s="6">
        <f t="shared" si="16"/>
        <v>7077140.8351026187</v>
      </c>
      <c r="J78" s="6">
        <f t="shared" si="17"/>
        <v>7015082.4272185201</v>
      </c>
      <c r="K78" s="6">
        <f t="shared" si="18"/>
        <v>6828269.0337999314</v>
      </c>
      <c r="L78" s="6">
        <f t="shared" si="19"/>
        <v>494816146.70396256</v>
      </c>
      <c r="M78" s="6">
        <f t="shared" si="24"/>
        <v>7068802.0957708936</v>
      </c>
      <c r="N78" s="6"/>
      <c r="O78" s="10">
        <f t="shared" si="20"/>
        <v>488.14482024282495</v>
      </c>
      <c r="P78" s="10">
        <f t="shared" si="21"/>
        <v>6.9734974320403564</v>
      </c>
      <c r="Q78" s="10">
        <f t="shared" si="22"/>
        <v>494.81614670396254</v>
      </c>
      <c r="R78" s="10">
        <f t="shared" si="22"/>
        <v>7.0688020957708932</v>
      </c>
      <c r="S78" s="6"/>
    </row>
    <row r="79" spans="1:19" x14ac:dyDescent="0.25">
      <c r="A79">
        <v>71</v>
      </c>
      <c r="B79" s="1">
        <f t="shared" si="23"/>
        <v>7100000000</v>
      </c>
      <c r="C79" s="1">
        <v>29670</v>
      </c>
      <c r="D79" s="1">
        <v>29250</v>
      </c>
      <c r="E79" s="1">
        <v>29810</v>
      </c>
      <c r="F79" s="6">
        <f t="shared" si="13"/>
        <v>478597910.34715199</v>
      </c>
      <c r="G79" s="6">
        <f t="shared" si="14"/>
        <v>485470085.4700855</v>
      </c>
      <c r="H79" s="6">
        <f t="shared" si="15"/>
        <v>476350218.04763502</v>
      </c>
      <c r="I79" s="6">
        <f t="shared" si="16"/>
        <v>6740815.6386922812</v>
      </c>
      <c r="J79" s="6">
        <f t="shared" si="17"/>
        <v>6837606.837606838</v>
      </c>
      <c r="K79" s="6">
        <f t="shared" si="18"/>
        <v>6709158.0006709155</v>
      </c>
      <c r="L79" s="6">
        <f t="shared" si="19"/>
        <v>494816146.70396256</v>
      </c>
      <c r="M79" s="6">
        <f t="shared" si="24"/>
        <v>6969241.502872712</v>
      </c>
      <c r="N79" s="6"/>
      <c r="O79" s="10">
        <f t="shared" si="20"/>
        <v>480.13940462162418</v>
      </c>
      <c r="P79" s="10">
        <f t="shared" si="21"/>
        <v>6.7625268256566775</v>
      </c>
      <c r="Q79" s="10">
        <f t="shared" si="22"/>
        <v>494.81614670396254</v>
      </c>
      <c r="R79" s="10">
        <f t="shared" si="22"/>
        <v>6.9692415028727117</v>
      </c>
      <c r="S79" s="6"/>
    </row>
    <row r="80" spans="1:19" x14ac:dyDescent="0.25">
      <c r="A80">
        <v>72</v>
      </c>
      <c r="B80" s="1">
        <f t="shared" si="23"/>
        <v>7200000000</v>
      </c>
      <c r="C80" s="1">
        <v>29680</v>
      </c>
      <c r="D80" s="1">
        <v>29720</v>
      </c>
      <c r="E80" s="1">
        <v>30270</v>
      </c>
      <c r="F80" s="6">
        <f t="shared" si="13"/>
        <v>485175202.15633422</v>
      </c>
      <c r="G80" s="6">
        <f t="shared" si="14"/>
        <v>484522207.26783311</v>
      </c>
      <c r="H80" s="6">
        <f t="shared" si="15"/>
        <v>475718533.20118928</v>
      </c>
      <c r="I80" s="6">
        <f t="shared" si="16"/>
        <v>6738544.4743935307</v>
      </c>
      <c r="J80" s="6">
        <f t="shared" si="17"/>
        <v>6729475.1009421265</v>
      </c>
      <c r="K80" s="6">
        <f t="shared" si="18"/>
        <v>6607201.8500165176</v>
      </c>
      <c r="L80" s="6">
        <f t="shared" si="19"/>
        <v>494816146.70396256</v>
      </c>
      <c r="M80" s="6">
        <f t="shared" si="24"/>
        <v>6872446.4819994802</v>
      </c>
      <c r="N80" s="6"/>
      <c r="O80" s="10">
        <f t="shared" si="20"/>
        <v>481.80531420845222</v>
      </c>
      <c r="P80" s="10">
        <f t="shared" si="21"/>
        <v>6.6917404751173919</v>
      </c>
      <c r="Q80" s="10">
        <f t="shared" si="22"/>
        <v>494.81614670396254</v>
      </c>
      <c r="R80" s="10">
        <f t="shared" si="22"/>
        <v>6.8724464819994804</v>
      </c>
      <c r="S80" s="6"/>
    </row>
    <row r="81" spans="1:19" x14ac:dyDescent="0.25">
      <c r="A81">
        <v>73</v>
      </c>
      <c r="B81" s="1">
        <f t="shared" si="23"/>
        <v>7300000000</v>
      </c>
      <c r="C81" s="1">
        <v>29260</v>
      </c>
      <c r="D81" s="1">
        <v>29760</v>
      </c>
      <c r="E81" s="1">
        <v>30340</v>
      </c>
      <c r="F81" s="6">
        <f t="shared" si="13"/>
        <v>498974709.50102526</v>
      </c>
      <c r="G81" s="6">
        <f t="shared" si="14"/>
        <v>490591397.84946233</v>
      </c>
      <c r="H81" s="6">
        <f t="shared" si="15"/>
        <v>481212920.23731047</v>
      </c>
      <c r="I81" s="6">
        <f t="shared" si="16"/>
        <v>6835269.9931647293</v>
      </c>
      <c r="J81" s="6">
        <f t="shared" si="17"/>
        <v>6720430.1075268816</v>
      </c>
      <c r="K81" s="6">
        <f t="shared" si="18"/>
        <v>6591957.8114700066</v>
      </c>
      <c r="L81" s="6">
        <f t="shared" si="19"/>
        <v>494816146.70396256</v>
      </c>
      <c r="M81" s="6">
        <f t="shared" si="24"/>
        <v>6778303.3795063365</v>
      </c>
      <c r="N81" s="6"/>
      <c r="O81" s="10">
        <f t="shared" si="20"/>
        <v>490.25967586259935</v>
      </c>
      <c r="P81" s="10">
        <f t="shared" si="21"/>
        <v>6.7158859707205396</v>
      </c>
      <c r="Q81" s="10">
        <f t="shared" si="22"/>
        <v>494.81614670396254</v>
      </c>
      <c r="R81" s="10">
        <f t="shared" si="22"/>
        <v>6.7783033795063368</v>
      </c>
      <c r="S81" s="6"/>
    </row>
    <row r="82" spans="1:19" x14ac:dyDescent="0.25">
      <c r="A82">
        <v>74</v>
      </c>
      <c r="B82" s="1">
        <f t="shared" si="23"/>
        <v>7400000000</v>
      </c>
      <c r="C82" s="1">
        <v>29780</v>
      </c>
      <c r="D82" s="1">
        <v>31030</v>
      </c>
      <c r="E82" s="1">
        <v>37570</v>
      </c>
      <c r="F82" s="6">
        <f t="shared" si="13"/>
        <v>496977837.47481531</v>
      </c>
      <c r="G82" s="6">
        <f t="shared" si="14"/>
        <v>476957782.7908476</v>
      </c>
      <c r="H82" s="6">
        <f t="shared" si="15"/>
        <v>393931328.18738353</v>
      </c>
      <c r="I82" s="6">
        <f t="shared" si="16"/>
        <v>6715916.7226326391</v>
      </c>
      <c r="J82" s="6">
        <f t="shared" si="17"/>
        <v>6445375.4431195622</v>
      </c>
      <c r="K82" s="6">
        <f t="shared" si="18"/>
        <v>5323396.326856534</v>
      </c>
      <c r="L82" s="6">
        <f t="shared" si="19"/>
        <v>494816146.70396256</v>
      </c>
      <c r="M82" s="6">
        <f t="shared" si="24"/>
        <v>6686704.6851886837</v>
      </c>
      <c r="N82" s="6"/>
      <c r="O82" s="10">
        <f t="shared" si="20"/>
        <v>455.95564948434878</v>
      </c>
      <c r="P82" s="10">
        <f t="shared" si="21"/>
        <v>6.1615628308695785</v>
      </c>
      <c r="Q82" s="10">
        <f t="shared" si="22"/>
        <v>494.81614670396254</v>
      </c>
      <c r="R82" s="10">
        <f t="shared" si="22"/>
        <v>6.6867046851886833</v>
      </c>
      <c r="S82" s="6"/>
    </row>
    <row r="83" spans="1:19" x14ac:dyDescent="0.25">
      <c r="A83">
        <v>75</v>
      </c>
      <c r="B83" s="1">
        <f t="shared" si="23"/>
        <v>7500000000</v>
      </c>
      <c r="C83" s="1">
        <v>30990</v>
      </c>
      <c r="D83" s="1">
        <v>30530</v>
      </c>
      <c r="E83" s="1">
        <v>30470</v>
      </c>
      <c r="F83" s="6">
        <f t="shared" si="13"/>
        <v>484027105.51790899</v>
      </c>
      <c r="G83" s="6">
        <f t="shared" si="14"/>
        <v>491320013.10186702</v>
      </c>
      <c r="H83" s="6">
        <f t="shared" si="15"/>
        <v>492287495.89760423</v>
      </c>
      <c r="I83" s="6">
        <f t="shared" si="16"/>
        <v>6453694.7402387867</v>
      </c>
      <c r="J83" s="6">
        <f t="shared" si="17"/>
        <v>6550933.5080248937</v>
      </c>
      <c r="K83" s="6">
        <f t="shared" si="18"/>
        <v>6563833.2786347233</v>
      </c>
      <c r="L83" s="6">
        <f t="shared" si="19"/>
        <v>494816146.70396256</v>
      </c>
      <c r="M83" s="6">
        <f t="shared" si="24"/>
        <v>6597548.6227195011</v>
      </c>
      <c r="N83" s="6"/>
      <c r="O83" s="10">
        <f t="shared" si="20"/>
        <v>489.21153817246005</v>
      </c>
      <c r="P83" s="10">
        <f t="shared" si="21"/>
        <v>6.5228205089661335</v>
      </c>
      <c r="Q83" s="10">
        <f t="shared" si="22"/>
        <v>494.81614670396254</v>
      </c>
      <c r="R83" s="10">
        <f t="shared" si="22"/>
        <v>6.5975486227195015</v>
      </c>
      <c r="S83" s="6"/>
    </row>
    <row r="84" spans="1:19" x14ac:dyDescent="0.25">
      <c r="A84">
        <v>76</v>
      </c>
      <c r="B84" s="1">
        <f t="shared" si="23"/>
        <v>7600000000</v>
      </c>
      <c r="C84" s="1">
        <v>31030</v>
      </c>
      <c r="D84" s="1">
        <v>32160</v>
      </c>
      <c r="E84" s="1">
        <v>31350</v>
      </c>
      <c r="F84" s="6">
        <f t="shared" si="13"/>
        <v>489848533.67708671</v>
      </c>
      <c r="G84" s="6">
        <f t="shared" si="14"/>
        <v>472636815.920398</v>
      </c>
      <c r="H84" s="6">
        <f t="shared" si="15"/>
        <v>484848484.84848487</v>
      </c>
      <c r="I84" s="6">
        <f t="shared" si="16"/>
        <v>6445375.4431195622</v>
      </c>
      <c r="J84" s="6">
        <f t="shared" si="17"/>
        <v>6218905.4726368161</v>
      </c>
      <c r="K84" s="6">
        <f t="shared" si="18"/>
        <v>6379585.3269537482</v>
      </c>
      <c r="L84" s="6">
        <f t="shared" si="19"/>
        <v>494816146.70396256</v>
      </c>
      <c r="M84" s="6">
        <f t="shared" si="24"/>
        <v>6510738.77242056</v>
      </c>
      <c r="N84" s="6"/>
      <c r="O84" s="10">
        <f t="shared" si="20"/>
        <v>482.44461148198985</v>
      </c>
      <c r="P84" s="10">
        <f t="shared" si="21"/>
        <v>6.3479554142367096</v>
      </c>
      <c r="Q84" s="10">
        <f t="shared" si="22"/>
        <v>494.81614670396254</v>
      </c>
      <c r="R84" s="10">
        <f t="shared" si="22"/>
        <v>6.5107387724205603</v>
      </c>
      <c r="S84" s="6"/>
    </row>
    <row r="85" spans="1:19" x14ac:dyDescent="0.25">
      <c r="A85">
        <v>77</v>
      </c>
      <c r="B85" s="1">
        <f t="shared" si="23"/>
        <v>7700000000</v>
      </c>
      <c r="C85" s="1">
        <v>31390</v>
      </c>
      <c r="D85" s="1">
        <v>32530</v>
      </c>
      <c r="E85" s="1">
        <v>30970</v>
      </c>
      <c r="F85" s="6">
        <f t="shared" si="13"/>
        <v>490602102.58043963</v>
      </c>
      <c r="G85" s="6">
        <f t="shared" si="14"/>
        <v>473409160.77466953</v>
      </c>
      <c r="H85" s="6">
        <f t="shared" si="15"/>
        <v>497255408.45979983</v>
      </c>
      <c r="I85" s="6">
        <f t="shared" si="16"/>
        <v>6371455.8776680473</v>
      </c>
      <c r="J85" s="6">
        <f t="shared" si="17"/>
        <v>6148170.919151552</v>
      </c>
      <c r="K85" s="6">
        <f t="shared" si="18"/>
        <v>6457862.4475298682</v>
      </c>
      <c r="L85" s="6">
        <f t="shared" si="19"/>
        <v>494816146.70396256</v>
      </c>
      <c r="M85" s="6">
        <f t="shared" si="24"/>
        <v>6426183.7234280854</v>
      </c>
      <c r="N85" s="6"/>
      <c r="O85" s="10">
        <f t="shared" si="20"/>
        <v>487.08889060496966</v>
      </c>
      <c r="P85" s="10">
        <f t="shared" si="21"/>
        <v>6.3258297481164893</v>
      </c>
      <c r="Q85" s="10">
        <f t="shared" si="22"/>
        <v>494.81614670396254</v>
      </c>
      <c r="R85" s="10">
        <f t="shared" si="22"/>
        <v>6.4261837234280854</v>
      </c>
      <c r="S85" s="6"/>
    </row>
    <row r="86" spans="1:19" x14ac:dyDescent="0.25">
      <c r="A86">
        <v>78</v>
      </c>
      <c r="B86" s="1">
        <f t="shared" si="23"/>
        <v>7800000000</v>
      </c>
      <c r="C86" s="1">
        <v>31800</v>
      </c>
      <c r="D86" s="1">
        <v>31500</v>
      </c>
      <c r="E86" s="1">
        <v>32700</v>
      </c>
      <c r="F86" s="6">
        <f t="shared" si="13"/>
        <v>490566037.73584902</v>
      </c>
      <c r="G86" s="6">
        <f t="shared" si="14"/>
        <v>495238095.23809528</v>
      </c>
      <c r="H86" s="6">
        <f t="shared" si="15"/>
        <v>477064220.18348622</v>
      </c>
      <c r="I86" s="6">
        <f t="shared" si="16"/>
        <v>6289308.1761006285</v>
      </c>
      <c r="J86" s="6">
        <f t="shared" si="17"/>
        <v>6349206.3492063498</v>
      </c>
      <c r="K86" s="6">
        <f t="shared" si="18"/>
        <v>6116207.9510703366</v>
      </c>
      <c r="L86" s="6">
        <f t="shared" si="19"/>
        <v>494816146.70396256</v>
      </c>
      <c r="M86" s="6">
        <f t="shared" si="24"/>
        <v>6343796.7526149051</v>
      </c>
      <c r="N86" s="6"/>
      <c r="O86" s="10">
        <f t="shared" si="20"/>
        <v>487.62278438581018</v>
      </c>
      <c r="P86" s="10">
        <f t="shared" si="21"/>
        <v>6.2515741587924385</v>
      </c>
      <c r="Q86" s="10">
        <f t="shared" si="22"/>
        <v>494.81614670396254</v>
      </c>
      <c r="R86" s="10">
        <f t="shared" si="22"/>
        <v>6.3437967526149048</v>
      </c>
      <c r="S86" s="6"/>
    </row>
    <row r="87" spans="1:19" x14ac:dyDescent="0.25">
      <c r="A87">
        <v>79</v>
      </c>
      <c r="B87" s="1">
        <f t="shared" si="23"/>
        <v>7900000000</v>
      </c>
      <c r="C87" s="1">
        <v>32290</v>
      </c>
      <c r="D87" s="1">
        <v>32680</v>
      </c>
      <c r="E87" s="1">
        <v>32090</v>
      </c>
      <c r="F87" s="6">
        <f t="shared" si="13"/>
        <v>489315577.5781976</v>
      </c>
      <c r="G87" s="6">
        <f t="shared" si="14"/>
        <v>483476132.19094247</v>
      </c>
      <c r="H87" s="6">
        <f t="shared" si="15"/>
        <v>492365222.81084448</v>
      </c>
      <c r="I87" s="6">
        <f t="shared" si="16"/>
        <v>6193868.0706100957</v>
      </c>
      <c r="J87" s="6">
        <f t="shared" si="17"/>
        <v>6119951.0403916771</v>
      </c>
      <c r="K87" s="6">
        <f t="shared" si="18"/>
        <v>6232471.1748208161</v>
      </c>
      <c r="L87" s="6">
        <f t="shared" si="19"/>
        <v>494816146.70396256</v>
      </c>
      <c r="M87" s="6">
        <f t="shared" si="24"/>
        <v>6263495.5278982604</v>
      </c>
      <c r="N87" s="6"/>
      <c r="O87" s="10">
        <f t="shared" si="20"/>
        <v>488.38564419332812</v>
      </c>
      <c r="P87" s="10">
        <f t="shared" si="21"/>
        <v>6.1820967619408629</v>
      </c>
      <c r="Q87" s="10">
        <f t="shared" si="22"/>
        <v>494.81614670396254</v>
      </c>
      <c r="R87" s="10">
        <f t="shared" si="22"/>
        <v>6.26349552789826</v>
      </c>
      <c r="S87" s="6"/>
    </row>
    <row r="88" spans="1:19" x14ac:dyDescent="0.25">
      <c r="A88">
        <v>80</v>
      </c>
      <c r="B88" s="1">
        <f t="shared" si="23"/>
        <v>8000000000</v>
      </c>
      <c r="C88" s="1">
        <v>33740</v>
      </c>
      <c r="D88" s="1">
        <v>32130</v>
      </c>
      <c r="E88" s="1">
        <v>32660</v>
      </c>
      <c r="F88" s="6">
        <f t="shared" si="13"/>
        <v>474214582.09839952</v>
      </c>
      <c r="G88" s="6">
        <f t="shared" si="14"/>
        <v>497976968.56520385</v>
      </c>
      <c r="H88" s="6">
        <f t="shared" si="15"/>
        <v>489895897.12186158</v>
      </c>
      <c r="I88" s="6">
        <f t="shared" si="16"/>
        <v>5927682.2762299944</v>
      </c>
      <c r="J88" s="6">
        <f t="shared" si="17"/>
        <v>6224712.1070650481</v>
      </c>
      <c r="K88" s="6">
        <f t="shared" si="18"/>
        <v>6123698.7140232697</v>
      </c>
      <c r="L88" s="6">
        <f t="shared" si="19"/>
        <v>494816146.70396256</v>
      </c>
      <c r="M88" s="6">
        <f t="shared" si="24"/>
        <v>6185201.8337995317</v>
      </c>
      <c r="N88" s="6"/>
      <c r="O88" s="10">
        <f t="shared" si="20"/>
        <v>487.36248259515492</v>
      </c>
      <c r="P88" s="10">
        <f t="shared" si="21"/>
        <v>6.0920310324394373</v>
      </c>
      <c r="Q88" s="10">
        <f t="shared" si="22"/>
        <v>494.81614670396254</v>
      </c>
      <c r="R88" s="10">
        <f t="shared" si="22"/>
        <v>6.1852018337995318</v>
      </c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32EE-6A71-4CF0-835B-2D92A4B1F77F}">
  <dimension ref="A1:U88"/>
  <sheetViews>
    <sheetView topLeftCell="J1" workbookViewId="0">
      <selection activeCell="D30" sqref="D30:F30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13130</v>
      </c>
      <c r="D9" s="1">
        <v>13170</v>
      </c>
      <c r="E9" s="1">
        <v>13170</v>
      </c>
      <c r="F9" s="6">
        <f>B9*2/C9*1000</f>
        <v>15232292.460015234</v>
      </c>
      <c r="G9" s="6">
        <f>B9*2/D9*1000</f>
        <v>15186028.853454821</v>
      </c>
      <c r="H9" s="6">
        <f>B9*2/E9*1000</f>
        <v>15186028.853454821</v>
      </c>
      <c r="I9" s="6">
        <f>F9/A9</f>
        <v>15232292.460015234</v>
      </c>
      <c r="J9" s="6">
        <f>G9/A9</f>
        <v>15186028.853454821</v>
      </c>
      <c r="K9" s="6">
        <f>H9/A9</f>
        <v>15186028.853454821</v>
      </c>
      <c r="L9" s="6">
        <f>(F9+G9+H9)/3</f>
        <v>15201450.055641627</v>
      </c>
      <c r="M9" s="6">
        <f>L9/A9</f>
        <v>15201450.055641627</v>
      </c>
      <c r="N9" s="6"/>
      <c r="O9" s="10">
        <f>(F9+G9+H9)/3/1000000</f>
        <v>15.201450055641628</v>
      </c>
      <c r="P9" s="10">
        <f>(I9+J9+K9)/3/1000000</f>
        <v>15.201450055641628</v>
      </c>
      <c r="Q9" s="10">
        <f>L9/1000000</f>
        <v>15.201450055641628</v>
      </c>
      <c r="R9" s="10">
        <f>M9/1000000</f>
        <v>15.201450055641628</v>
      </c>
      <c r="S9" s="6"/>
    </row>
    <row r="10" spans="1:19" x14ac:dyDescent="0.25">
      <c r="A10">
        <v>2</v>
      </c>
      <c r="B10" s="1">
        <f>$B$9*A10</f>
        <v>200000000</v>
      </c>
      <c r="C10" s="1">
        <v>13360</v>
      </c>
      <c r="D10" s="1">
        <v>13320</v>
      </c>
      <c r="E10" s="1">
        <v>13270</v>
      </c>
      <c r="F10" s="6">
        <f t="shared" ref="F10:F28" si="0">B10*2/C10*1000</f>
        <v>29940119.760479044</v>
      </c>
      <c r="G10" s="6">
        <f t="shared" ref="G10:G28" si="1">B10*2/D10*1000</f>
        <v>30030030.030030031</v>
      </c>
      <c r="H10" s="6">
        <f t="shared" ref="H10:H28" si="2">B10*2/E10*1000</f>
        <v>30143180.10550113</v>
      </c>
      <c r="I10" s="6">
        <f t="shared" ref="I10:I28" si="3">F10/A10</f>
        <v>14970059.880239522</v>
      </c>
      <c r="J10" s="6">
        <f t="shared" ref="J10:J28" si="4">G10/A10</f>
        <v>15015015.015015015</v>
      </c>
      <c r="K10" s="6">
        <f t="shared" ref="K10:K28" si="5">H10/A10</f>
        <v>15071590.052750565</v>
      </c>
      <c r="L10" s="6">
        <f t="shared" ref="L10:L12" si="6">$L$9*A10</f>
        <v>30402900.111283254</v>
      </c>
      <c r="M10" s="6">
        <f t="shared" ref="M10:M28" si="7">L10/A10</f>
        <v>15201450.055641627</v>
      </c>
      <c r="N10" s="6"/>
      <c r="O10" s="10">
        <f t="shared" ref="O10:O28" si="8">(F10+G10+H10)/3/1000000</f>
        <v>30.0377766320034</v>
      </c>
      <c r="P10" s="10">
        <f t="shared" ref="P10:P28" si="9">(I10+J10+K10)/3/1000000</f>
        <v>15.0188883160017</v>
      </c>
      <c r="Q10" s="10">
        <f t="shared" ref="Q10:R28" si="10">L10/1000000</f>
        <v>30.402900111283255</v>
      </c>
      <c r="R10" s="10">
        <f t="shared" si="10"/>
        <v>15.201450055641628</v>
      </c>
      <c r="S10" s="6"/>
    </row>
    <row r="11" spans="1:19" x14ac:dyDescent="0.25">
      <c r="A11">
        <v>3</v>
      </c>
      <c r="B11" s="1">
        <f t="shared" ref="B11:B28" si="11">$B$9*A11</f>
        <v>300000000</v>
      </c>
      <c r="C11" s="1">
        <v>13370</v>
      </c>
      <c r="D11" s="1">
        <v>13460</v>
      </c>
      <c r="E11" s="1">
        <v>13290</v>
      </c>
      <c r="F11" s="6">
        <f t="shared" si="0"/>
        <v>44876589.379207179</v>
      </c>
      <c r="G11" s="6">
        <f t="shared" si="1"/>
        <v>44576523.031203561</v>
      </c>
      <c r="H11" s="6">
        <f t="shared" si="2"/>
        <v>45146726.86230249</v>
      </c>
      <c r="I11" s="6">
        <f t="shared" si="3"/>
        <v>14958863.126402393</v>
      </c>
      <c r="J11" s="6">
        <f t="shared" si="4"/>
        <v>14858841.010401187</v>
      </c>
      <c r="K11" s="6">
        <f t="shared" si="5"/>
        <v>15048908.95410083</v>
      </c>
      <c r="L11" s="6">
        <f t="shared" si="6"/>
        <v>45604350.166924879</v>
      </c>
      <c r="M11" s="6">
        <f t="shared" si="7"/>
        <v>15201450.055641627</v>
      </c>
      <c r="N11" s="6"/>
      <c r="O11" s="10">
        <f t="shared" si="8"/>
        <v>44.866613090904409</v>
      </c>
      <c r="P11" s="10">
        <f t="shared" si="9"/>
        <v>14.955537696968138</v>
      </c>
      <c r="Q11" s="10">
        <f t="shared" si="10"/>
        <v>45.604350166924881</v>
      </c>
      <c r="R11" s="10">
        <f t="shared" si="10"/>
        <v>15.201450055641628</v>
      </c>
      <c r="S11" s="6"/>
    </row>
    <row r="12" spans="1:19" x14ac:dyDescent="0.25">
      <c r="A12">
        <v>4</v>
      </c>
      <c r="B12" s="1">
        <f t="shared" si="11"/>
        <v>400000000</v>
      </c>
      <c r="C12" s="1">
        <v>13520</v>
      </c>
      <c r="D12" s="1">
        <v>13260</v>
      </c>
      <c r="E12" s="1">
        <v>13340</v>
      </c>
      <c r="F12" s="6">
        <f t="shared" si="0"/>
        <v>59171597.633136094</v>
      </c>
      <c r="G12" s="6">
        <f t="shared" si="1"/>
        <v>60331825.037707396</v>
      </c>
      <c r="H12" s="6">
        <f t="shared" si="2"/>
        <v>59970014.992503747</v>
      </c>
      <c r="I12" s="6">
        <f t="shared" si="3"/>
        <v>14792899.408284023</v>
      </c>
      <c r="J12" s="6">
        <f t="shared" si="4"/>
        <v>15082956.259426849</v>
      </c>
      <c r="K12" s="6">
        <f t="shared" si="5"/>
        <v>14992503.748125937</v>
      </c>
      <c r="L12" s="6">
        <f t="shared" si="6"/>
        <v>60805800.222566508</v>
      </c>
      <c r="M12" s="6">
        <f t="shared" si="7"/>
        <v>15201450.055641627</v>
      </c>
      <c r="N12" s="6"/>
      <c r="O12" s="10">
        <f t="shared" si="8"/>
        <v>59.824479221115745</v>
      </c>
      <c r="P12" s="10">
        <f t="shared" si="9"/>
        <v>14.956119805278936</v>
      </c>
      <c r="Q12" s="10">
        <f t="shared" si="10"/>
        <v>60.805800222566511</v>
      </c>
      <c r="R12" s="10">
        <f t="shared" si="10"/>
        <v>15.201450055641628</v>
      </c>
      <c r="S12" s="6"/>
    </row>
    <row r="13" spans="1:19" x14ac:dyDescent="0.25">
      <c r="A13">
        <v>5</v>
      </c>
      <c r="B13" s="1">
        <f t="shared" si="11"/>
        <v>500000000</v>
      </c>
      <c r="C13" s="1">
        <v>17670</v>
      </c>
      <c r="D13" s="1">
        <v>18160</v>
      </c>
      <c r="E13" s="1">
        <v>28760</v>
      </c>
      <c r="F13" s="6">
        <f t="shared" si="0"/>
        <v>56593095.642331637</v>
      </c>
      <c r="G13" s="6">
        <f t="shared" si="1"/>
        <v>55066079.295154192</v>
      </c>
      <c r="H13" s="6">
        <f t="shared" si="2"/>
        <v>34770514.603616133</v>
      </c>
      <c r="I13" s="6">
        <f t="shared" si="3"/>
        <v>11318619.128466327</v>
      </c>
      <c r="J13" s="6">
        <f t="shared" si="4"/>
        <v>11013215.859030839</v>
      </c>
      <c r="K13" s="6">
        <f t="shared" si="5"/>
        <v>6954102.9207232269</v>
      </c>
      <c r="L13" s="6">
        <f>$L$9*(4+(A13-4)*60%)</f>
        <v>69926670.255951479</v>
      </c>
      <c r="M13" s="6">
        <f t="shared" si="7"/>
        <v>13985334.051190296</v>
      </c>
      <c r="N13" s="6"/>
      <c r="O13" s="10">
        <f t="shared" si="8"/>
        <v>48.809896513700657</v>
      </c>
      <c r="P13" s="10">
        <f t="shared" si="9"/>
        <v>9.76197930274013</v>
      </c>
      <c r="Q13" s="10">
        <f t="shared" si="10"/>
        <v>69.926670255951478</v>
      </c>
      <c r="R13" s="10">
        <f t="shared" si="10"/>
        <v>13.985334051190296</v>
      </c>
      <c r="S13" s="6"/>
    </row>
    <row r="14" spans="1:19" x14ac:dyDescent="0.25">
      <c r="A14">
        <v>6</v>
      </c>
      <c r="B14" s="1">
        <f t="shared" si="11"/>
        <v>600000000</v>
      </c>
      <c r="C14" s="1">
        <v>17890</v>
      </c>
      <c r="D14" s="1">
        <v>25750</v>
      </c>
      <c r="E14" s="1">
        <v>28750</v>
      </c>
      <c r="F14" s="6">
        <f t="shared" si="0"/>
        <v>67076579.094466187</v>
      </c>
      <c r="G14" s="6">
        <f t="shared" si="1"/>
        <v>46601941.747572817</v>
      </c>
      <c r="H14" s="6">
        <f t="shared" si="2"/>
        <v>41739130.434782609</v>
      </c>
      <c r="I14" s="6">
        <f t="shared" si="3"/>
        <v>11179429.849077698</v>
      </c>
      <c r="J14" s="6">
        <f t="shared" si="4"/>
        <v>7766990.2912621358</v>
      </c>
      <c r="K14" s="6">
        <f t="shared" si="5"/>
        <v>6956521.7391304346</v>
      </c>
      <c r="L14" s="6">
        <f t="shared" ref="L14:L20" si="12">$L$9*(4+(A14-4)*60%)</f>
        <v>79047540.289336458</v>
      </c>
      <c r="M14" s="6">
        <f t="shared" si="7"/>
        <v>13174590.048222743</v>
      </c>
      <c r="N14" s="6"/>
      <c r="O14" s="10">
        <f t="shared" si="8"/>
        <v>51.805883758940539</v>
      </c>
      <c r="P14" s="10">
        <f t="shared" si="9"/>
        <v>8.6343139598234213</v>
      </c>
      <c r="Q14" s="10">
        <f t="shared" si="10"/>
        <v>79.047540289336453</v>
      </c>
      <c r="R14" s="10">
        <f t="shared" si="10"/>
        <v>13.174590048222743</v>
      </c>
      <c r="S14" s="6"/>
    </row>
    <row r="15" spans="1:19" x14ac:dyDescent="0.25">
      <c r="A15">
        <v>7</v>
      </c>
      <c r="B15" s="1">
        <f t="shared" si="11"/>
        <v>700000000</v>
      </c>
      <c r="C15" s="1">
        <v>17890</v>
      </c>
      <c r="D15" s="1">
        <v>25560</v>
      </c>
      <c r="E15" s="1">
        <v>27720</v>
      </c>
      <c r="F15" s="6">
        <f t="shared" si="0"/>
        <v>78256008.943543881</v>
      </c>
      <c r="G15" s="6">
        <f t="shared" si="1"/>
        <v>54773082.942097023</v>
      </c>
      <c r="H15" s="6">
        <f t="shared" si="2"/>
        <v>50505050.505050503</v>
      </c>
      <c r="I15" s="6">
        <f t="shared" si="3"/>
        <v>11179429.849077698</v>
      </c>
      <c r="J15" s="6">
        <f t="shared" si="4"/>
        <v>7824726.1345852893</v>
      </c>
      <c r="K15" s="6">
        <f t="shared" si="5"/>
        <v>7215007.2150072148</v>
      </c>
      <c r="L15" s="6">
        <f t="shared" si="12"/>
        <v>88168410.322721437</v>
      </c>
      <c r="M15" s="6">
        <f t="shared" si="7"/>
        <v>12595487.188960206</v>
      </c>
      <c r="N15" s="6"/>
      <c r="O15" s="10">
        <f t="shared" si="8"/>
        <v>61.1780474635638</v>
      </c>
      <c r="P15" s="10">
        <f t="shared" si="9"/>
        <v>8.7397210662233995</v>
      </c>
      <c r="Q15" s="10">
        <f t="shared" si="10"/>
        <v>88.168410322721442</v>
      </c>
      <c r="R15" s="10">
        <f t="shared" si="10"/>
        <v>12.595487188960206</v>
      </c>
      <c r="S15" s="6"/>
    </row>
    <row r="16" spans="1:19" x14ac:dyDescent="0.25">
      <c r="A16">
        <v>8</v>
      </c>
      <c r="B16" s="1">
        <f t="shared" si="11"/>
        <v>800000000</v>
      </c>
      <c r="C16" s="1">
        <v>24730</v>
      </c>
      <c r="D16" s="1">
        <v>36930</v>
      </c>
      <c r="E16" s="1">
        <v>33140</v>
      </c>
      <c r="F16" s="6">
        <f t="shared" si="0"/>
        <v>64698746.461787306</v>
      </c>
      <c r="G16" s="6">
        <f t="shared" si="1"/>
        <v>43325209.85648524</v>
      </c>
      <c r="H16" s="6">
        <f t="shared" si="2"/>
        <v>48280024.140012071</v>
      </c>
      <c r="I16" s="6">
        <f t="shared" si="3"/>
        <v>8087343.3077234132</v>
      </c>
      <c r="J16" s="6">
        <f t="shared" si="4"/>
        <v>5415651.232060655</v>
      </c>
      <c r="K16" s="6">
        <f t="shared" si="5"/>
        <v>6035003.0175015088</v>
      </c>
      <c r="L16" s="6">
        <f t="shared" si="12"/>
        <v>97289280.356106415</v>
      </c>
      <c r="M16" s="6">
        <f t="shared" si="7"/>
        <v>12161160.044513302</v>
      </c>
      <c r="N16" s="6"/>
      <c r="O16" s="10">
        <f t="shared" si="8"/>
        <v>52.101326819428202</v>
      </c>
      <c r="P16" s="10">
        <f t="shared" si="9"/>
        <v>6.5126658524285252</v>
      </c>
      <c r="Q16" s="10">
        <f t="shared" si="10"/>
        <v>97.289280356106417</v>
      </c>
      <c r="R16" s="10">
        <f t="shared" si="10"/>
        <v>12.161160044513302</v>
      </c>
      <c r="S16" s="6"/>
    </row>
    <row r="17" spans="1:19" x14ac:dyDescent="0.25">
      <c r="A17">
        <v>9</v>
      </c>
      <c r="B17" s="1">
        <f t="shared" si="11"/>
        <v>900000000</v>
      </c>
      <c r="C17" s="1">
        <v>19450</v>
      </c>
      <c r="D17" s="1">
        <v>34810</v>
      </c>
      <c r="E17" s="1">
        <v>19160</v>
      </c>
      <c r="F17" s="6">
        <f t="shared" si="0"/>
        <v>92544987.146529555</v>
      </c>
      <c r="G17" s="6">
        <f t="shared" si="1"/>
        <v>51709278.942832522</v>
      </c>
      <c r="H17" s="6">
        <f t="shared" si="2"/>
        <v>93945720.250521913</v>
      </c>
      <c r="I17" s="6">
        <f t="shared" si="3"/>
        <v>10282776.349614395</v>
      </c>
      <c r="J17" s="6">
        <f t="shared" si="4"/>
        <v>5745475.4380925028</v>
      </c>
      <c r="K17" s="6">
        <f t="shared" si="5"/>
        <v>10438413.361169102</v>
      </c>
      <c r="L17" s="6">
        <f t="shared" si="12"/>
        <v>106410150.38949139</v>
      </c>
      <c r="M17" s="6">
        <f t="shared" si="7"/>
        <v>11823350.043276822</v>
      </c>
      <c r="N17" s="6"/>
      <c r="O17" s="10">
        <f t="shared" si="8"/>
        <v>79.399995446627983</v>
      </c>
      <c r="P17" s="10">
        <f t="shared" si="9"/>
        <v>8.8222217162919989</v>
      </c>
      <c r="Q17" s="10">
        <f t="shared" si="10"/>
        <v>106.41015038949139</v>
      </c>
      <c r="R17" s="10">
        <f t="shared" si="10"/>
        <v>11.823350043276822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18760</v>
      </c>
      <c r="D18" s="1">
        <v>30120</v>
      </c>
      <c r="E18" s="1">
        <v>18840</v>
      </c>
      <c r="F18" s="6">
        <f t="shared" si="0"/>
        <v>106609808.10234541</v>
      </c>
      <c r="G18" s="6">
        <f t="shared" si="1"/>
        <v>66401062.41699867</v>
      </c>
      <c r="H18" s="6">
        <f t="shared" si="2"/>
        <v>106157112.52653928</v>
      </c>
      <c r="I18" s="6">
        <f t="shared" si="3"/>
        <v>10660980.810234541</v>
      </c>
      <c r="J18" s="6">
        <f t="shared" si="4"/>
        <v>6640106.241699867</v>
      </c>
      <c r="K18" s="6">
        <f t="shared" si="5"/>
        <v>10615711.252653928</v>
      </c>
      <c r="L18" s="6">
        <f t="shared" si="12"/>
        <v>115531020.42287636</v>
      </c>
      <c r="M18" s="6">
        <f t="shared" si="7"/>
        <v>11553102.042287637</v>
      </c>
      <c r="N18" s="6"/>
      <c r="O18" s="10">
        <f t="shared" si="8"/>
        <v>93.055994348627792</v>
      </c>
      <c r="P18" s="10">
        <f t="shared" si="9"/>
        <v>9.3055994348627777</v>
      </c>
      <c r="Q18" s="10">
        <f t="shared" si="10"/>
        <v>115.53102042287635</v>
      </c>
      <c r="R18" s="10">
        <f t="shared" si="10"/>
        <v>11.553102042287637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33580</v>
      </c>
      <c r="D19" s="1">
        <v>37940</v>
      </c>
      <c r="E19" s="1">
        <v>39090</v>
      </c>
      <c r="F19" s="6">
        <f t="shared" si="0"/>
        <v>65515187.611673616</v>
      </c>
      <c r="G19" s="6">
        <f t="shared" si="1"/>
        <v>57986294.148655772</v>
      </c>
      <c r="H19" s="6">
        <f t="shared" si="2"/>
        <v>56280378.613456123</v>
      </c>
      <c r="I19" s="6">
        <f t="shared" si="3"/>
        <v>5955926.1465157829</v>
      </c>
      <c r="J19" s="6">
        <f t="shared" si="4"/>
        <v>5271481.2862414336</v>
      </c>
      <c r="K19" s="6">
        <f t="shared" si="5"/>
        <v>5116398.0557687385</v>
      </c>
      <c r="L19" s="6">
        <f t="shared" si="12"/>
        <v>124651890.45626134</v>
      </c>
      <c r="M19" s="6">
        <f t="shared" si="7"/>
        <v>11331990.041478304</v>
      </c>
      <c r="N19" s="6"/>
      <c r="O19" s="10">
        <f t="shared" si="8"/>
        <v>59.927286791261842</v>
      </c>
      <c r="P19" s="10">
        <f t="shared" si="9"/>
        <v>5.4479351628419863</v>
      </c>
      <c r="Q19" s="10">
        <f t="shared" si="10"/>
        <v>124.65189045626134</v>
      </c>
      <c r="R19" s="10">
        <f t="shared" si="10"/>
        <v>11.331990041478305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18960</v>
      </c>
      <c r="D20" s="1">
        <v>43950</v>
      </c>
      <c r="E20" s="1">
        <v>42150</v>
      </c>
      <c r="F20" s="6">
        <f t="shared" si="0"/>
        <v>126582278.48101266</v>
      </c>
      <c r="G20" s="6">
        <f t="shared" si="1"/>
        <v>54607508.532423206</v>
      </c>
      <c r="H20" s="6">
        <f t="shared" si="2"/>
        <v>56939501.77935943</v>
      </c>
      <c r="I20" s="6">
        <f t="shared" si="3"/>
        <v>10548523.206751054</v>
      </c>
      <c r="J20" s="6">
        <f t="shared" si="4"/>
        <v>4550625.7110352674</v>
      </c>
      <c r="K20" s="6">
        <f t="shared" si="5"/>
        <v>4744958.4816132858</v>
      </c>
      <c r="L20" s="6">
        <f t="shared" si="12"/>
        <v>133772760.48964633</v>
      </c>
      <c r="M20" s="6">
        <f t="shared" si="7"/>
        <v>11147730.040803861</v>
      </c>
      <c r="N20" s="6"/>
      <c r="O20" s="10">
        <f t="shared" si="8"/>
        <v>79.376429597598431</v>
      </c>
      <c r="P20" s="10">
        <f t="shared" si="9"/>
        <v>6.6147024664665359</v>
      </c>
      <c r="Q20" s="10">
        <f t="shared" si="10"/>
        <v>133.77276048964632</v>
      </c>
      <c r="R20" s="10">
        <f t="shared" si="10"/>
        <v>11.147730040803861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21990</v>
      </c>
      <c r="D21" s="1">
        <v>49900</v>
      </c>
      <c r="E21" s="1">
        <v>23500</v>
      </c>
      <c r="F21" s="6">
        <f t="shared" si="0"/>
        <v>118235561.61891769</v>
      </c>
      <c r="G21" s="6">
        <f t="shared" si="1"/>
        <v>52104208.416833669</v>
      </c>
      <c r="H21" s="6">
        <f t="shared" si="2"/>
        <v>110638297.87234043</v>
      </c>
      <c r="I21" s="6">
        <f t="shared" si="3"/>
        <v>9095043.2014552075</v>
      </c>
      <c r="J21" s="6">
        <f t="shared" si="4"/>
        <v>4008016.0320641282</v>
      </c>
      <c r="K21" s="6">
        <f t="shared" si="5"/>
        <v>8510638.2978723403</v>
      </c>
      <c r="L21" s="6">
        <f>$L$9*(4+8*60%+(A21-12)*30%)</f>
        <v>138333195.50633883</v>
      </c>
      <c r="M21" s="6">
        <f t="shared" si="7"/>
        <v>10641015.038949141</v>
      </c>
      <c r="N21" s="6"/>
      <c r="O21" s="10">
        <f t="shared" si="8"/>
        <v>93.659355969363929</v>
      </c>
      <c r="P21" s="10">
        <f t="shared" si="9"/>
        <v>7.2045658437972255</v>
      </c>
      <c r="Q21" s="10">
        <f t="shared" si="10"/>
        <v>138.33319550633882</v>
      </c>
      <c r="R21" s="10">
        <f t="shared" si="10"/>
        <v>10.641015038949142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60600</v>
      </c>
      <c r="D22" s="1">
        <v>62730</v>
      </c>
      <c r="E22" s="1">
        <v>58110</v>
      </c>
      <c r="F22" s="6">
        <f t="shared" si="0"/>
        <v>46204620.462046199</v>
      </c>
      <c r="G22" s="6">
        <f t="shared" si="1"/>
        <v>44635740.475051813</v>
      </c>
      <c r="H22" s="6">
        <f t="shared" si="2"/>
        <v>48184477.714679055</v>
      </c>
      <c r="I22" s="6">
        <f t="shared" si="3"/>
        <v>3300330.0330033</v>
      </c>
      <c r="J22" s="6">
        <f t="shared" si="4"/>
        <v>3188267.1767894151</v>
      </c>
      <c r="K22" s="6">
        <f t="shared" si="5"/>
        <v>3441748.408191361</v>
      </c>
      <c r="L22" s="6">
        <f>$L$9*(4+8*60%+(A22-12)*30%)</f>
        <v>142893630.52303129</v>
      </c>
      <c r="M22" s="6">
        <f t="shared" si="7"/>
        <v>10206687.894502236</v>
      </c>
      <c r="N22" s="6"/>
      <c r="O22" s="10">
        <f t="shared" si="8"/>
        <v>46.341612883925684</v>
      </c>
      <c r="P22" s="10">
        <f t="shared" si="9"/>
        <v>3.3101152059946917</v>
      </c>
      <c r="Q22" s="10">
        <f t="shared" si="10"/>
        <v>142.89363052303131</v>
      </c>
      <c r="R22" s="10">
        <f t="shared" si="10"/>
        <v>10.206687894502236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68880</v>
      </c>
      <c r="D23" s="1">
        <v>24820</v>
      </c>
      <c r="E23" s="1">
        <v>72290</v>
      </c>
      <c r="F23" s="6">
        <f t="shared" si="0"/>
        <v>43554006.968641117</v>
      </c>
      <c r="G23" s="6">
        <f t="shared" si="1"/>
        <v>120870265.91458502</v>
      </c>
      <c r="H23" s="6">
        <f t="shared" si="2"/>
        <v>41499515.838981874</v>
      </c>
      <c r="I23" s="6">
        <f t="shared" si="3"/>
        <v>2903600.4645760744</v>
      </c>
      <c r="J23" s="6">
        <f t="shared" si="4"/>
        <v>8058017.7276390018</v>
      </c>
      <c r="K23" s="6">
        <f t="shared" si="5"/>
        <v>2766634.3892654581</v>
      </c>
      <c r="L23" s="6">
        <f>$L$22</f>
        <v>142893630.52303129</v>
      </c>
      <c r="M23" s="6">
        <f t="shared" si="7"/>
        <v>9526242.0348687526</v>
      </c>
      <c r="N23" s="6"/>
      <c r="O23" s="10">
        <f t="shared" si="8"/>
        <v>68.641262907402677</v>
      </c>
      <c r="P23" s="10">
        <f t="shared" si="9"/>
        <v>4.5760841938268442</v>
      </c>
      <c r="Q23" s="10">
        <f t="shared" si="10"/>
        <v>142.89363052303131</v>
      </c>
      <c r="R23" s="10">
        <f t="shared" si="10"/>
        <v>9.5262420348687531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25720</v>
      </c>
      <c r="D24" s="1">
        <v>86310</v>
      </c>
      <c r="E24" s="1">
        <v>23180</v>
      </c>
      <c r="F24" s="6">
        <f t="shared" si="0"/>
        <v>124416796.26749611</v>
      </c>
      <c r="G24" s="6">
        <f t="shared" si="1"/>
        <v>37075657.513613716</v>
      </c>
      <c r="H24" s="6">
        <f t="shared" si="2"/>
        <v>138050043.14063847</v>
      </c>
      <c r="I24" s="6">
        <f t="shared" si="3"/>
        <v>7776049.7667185068</v>
      </c>
      <c r="J24" s="6">
        <f t="shared" si="4"/>
        <v>2317228.5946008572</v>
      </c>
      <c r="K24" s="6">
        <f t="shared" si="5"/>
        <v>8628127.6962899044</v>
      </c>
      <c r="L24" s="6">
        <f t="shared" ref="L24:L28" si="13">$L$22</f>
        <v>142893630.52303129</v>
      </c>
      <c r="M24" s="6">
        <f t="shared" si="7"/>
        <v>8930851.9076894559</v>
      </c>
      <c r="N24" s="6"/>
      <c r="O24" s="10">
        <f t="shared" si="8"/>
        <v>99.847498973916103</v>
      </c>
      <c r="P24" s="10">
        <f t="shared" si="9"/>
        <v>6.2404686858697564</v>
      </c>
      <c r="Q24" s="10">
        <f t="shared" si="10"/>
        <v>142.89363052303131</v>
      </c>
      <c r="R24" s="10">
        <f t="shared" si="10"/>
        <v>8.9308519076894566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26230</v>
      </c>
      <c r="D25" s="1">
        <v>69860</v>
      </c>
      <c r="E25" s="1">
        <v>25590</v>
      </c>
      <c r="F25" s="6">
        <f t="shared" si="0"/>
        <v>129622569.57682043</v>
      </c>
      <c r="G25" s="6">
        <f t="shared" si="1"/>
        <v>48668766.10363584</v>
      </c>
      <c r="H25" s="6">
        <f t="shared" si="2"/>
        <v>132864400.15631105</v>
      </c>
      <c r="I25" s="6">
        <f t="shared" si="3"/>
        <v>7624857.0339306137</v>
      </c>
      <c r="J25" s="6">
        <f t="shared" si="4"/>
        <v>2862868.5943315201</v>
      </c>
      <c r="K25" s="6">
        <f t="shared" si="5"/>
        <v>7815552.9503712384</v>
      </c>
      <c r="L25" s="6">
        <f t="shared" si="13"/>
        <v>142893630.52303129</v>
      </c>
      <c r="M25" s="6">
        <f t="shared" si="7"/>
        <v>8405507.6778253708</v>
      </c>
      <c r="N25" s="6"/>
      <c r="O25" s="10">
        <f t="shared" si="8"/>
        <v>103.71857861225577</v>
      </c>
      <c r="P25" s="10">
        <f t="shared" si="9"/>
        <v>6.1010928595444573</v>
      </c>
      <c r="Q25" s="10">
        <f t="shared" si="10"/>
        <v>142.89363052303131</v>
      </c>
      <c r="R25" s="10">
        <f t="shared" si="10"/>
        <v>8.405507677825371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27650</v>
      </c>
      <c r="D26" s="1">
        <v>27790</v>
      </c>
      <c r="E26" s="1">
        <v>78410</v>
      </c>
      <c r="F26" s="6">
        <f t="shared" si="0"/>
        <v>130198915.00904159</v>
      </c>
      <c r="G26" s="6">
        <f t="shared" si="1"/>
        <v>129543001.07952501</v>
      </c>
      <c r="H26" s="6">
        <f t="shared" si="2"/>
        <v>45912511.15929091</v>
      </c>
      <c r="I26" s="6">
        <f t="shared" si="3"/>
        <v>7233273.0560578667</v>
      </c>
      <c r="J26" s="6">
        <f t="shared" si="4"/>
        <v>7196833.3933069445</v>
      </c>
      <c r="K26" s="6">
        <f t="shared" si="5"/>
        <v>2550695.0644050506</v>
      </c>
      <c r="L26" s="6">
        <f t="shared" si="13"/>
        <v>142893630.52303129</v>
      </c>
      <c r="M26" s="6">
        <f t="shared" si="7"/>
        <v>7938535.0290572941</v>
      </c>
      <c r="N26" s="6"/>
      <c r="O26" s="10">
        <f t="shared" si="8"/>
        <v>101.88480908261917</v>
      </c>
      <c r="P26" s="10">
        <f t="shared" si="9"/>
        <v>5.6602671712566206</v>
      </c>
      <c r="Q26" s="10">
        <f t="shared" si="10"/>
        <v>142.89363052303131</v>
      </c>
      <c r="R26" s="10">
        <f t="shared" si="10"/>
        <v>7.9385350290572942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28220</v>
      </c>
      <c r="D27" s="1">
        <v>55150</v>
      </c>
      <c r="E27" s="1">
        <v>30180</v>
      </c>
      <c r="F27" s="6">
        <f t="shared" si="0"/>
        <v>134656272.14741316</v>
      </c>
      <c r="G27" s="6">
        <f t="shared" si="1"/>
        <v>68902991.840435177</v>
      </c>
      <c r="H27" s="6">
        <f t="shared" si="2"/>
        <v>125911199.46984757</v>
      </c>
      <c r="I27" s="6">
        <f t="shared" si="3"/>
        <v>7087172.2182849031</v>
      </c>
      <c r="J27" s="6">
        <f t="shared" si="4"/>
        <v>3626473.2547597461</v>
      </c>
      <c r="K27" s="6">
        <f t="shared" si="5"/>
        <v>6626905.2352551352</v>
      </c>
      <c r="L27" s="6">
        <f t="shared" si="13"/>
        <v>142893630.52303129</v>
      </c>
      <c r="M27" s="6">
        <f t="shared" si="7"/>
        <v>7520717.3959490154</v>
      </c>
      <c r="N27" s="6"/>
      <c r="O27" s="10">
        <f t="shared" si="8"/>
        <v>109.82348781923197</v>
      </c>
      <c r="P27" s="10">
        <f t="shared" si="9"/>
        <v>5.7801835694332615</v>
      </c>
      <c r="Q27" s="10">
        <f t="shared" si="10"/>
        <v>142.89363052303131</v>
      </c>
      <c r="R27" s="10">
        <f t="shared" si="10"/>
        <v>7.5207173959490152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27790</v>
      </c>
      <c r="D28" s="1">
        <v>29030</v>
      </c>
      <c r="E28" s="1">
        <v>29200</v>
      </c>
      <c r="F28" s="6">
        <f t="shared" si="0"/>
        <v>143936667.86613888</v>
      </c>
      <c r="G28" s="6">
        <f t="shared" si="1"/>
        <v>137788494.66069585</v>
      </c>
      <c r="H28" s="6">
        <f t="shared" si="2"/>
        <v>136986301.369863</v>
      </c>
      <c r="I28" s="6">
        <f t="shared" si="3"/>
        <v>7196833.3933069436</v>
      </c>
      <c r="J28" s="6">
        <f t="shared" si="4"/>
        <v>6889424.7330347924</v>
      </c>
      <c r="K28" s="6">
        <f t="shared" si="5"/>
        <v>6849315.0684931502</v>
      </c>
      <c r="L28" s="6">
        <f t="shared" si="13"/>
        <v>142893630.52303129</v>
      </c>
      <c r="M28" s="6">
        <f t="shared" si="7"/>
        <v>7144681.5261515649</v>
      </c>
      <c r="N28" s="6"/>
      <c r="O28" s="10">
        <f t="shared" si="8"/>
        <v>139.57048796556592</v>
      </c>
      <c r="P28" s="10">
        <f t="shared" si="9"/>
        <v>6.9785243982782958</v>
      </c>
      <c r="Q28" s="10">
        <f t="shared" si="10"/>
        <v>142.89363052303131</v>
      </c>
      <c r="R28" s="10">
        <f t="shared" si="10"/>
        <v>7.1446815261515653</v>
      </c>
      <c r="S28" s="6"/>
    </row>
    <row r="29" spans="1:19" x14ac:dyDescent="0.25"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10"/>
      <c r="P29" s="10"/>
      <c r="Q29" s="10"/>
      <c r="R29" s="10"/>
      <c r="S29" s="6"/>
    </row>
    <row r="30" spans="1:19" x14ac:dyDescent="0.25">
      <c r="B30" s="1"/>
      <c r="C30" s="1"/>
      <c r="D30" s="13"/>
      <c r="E30" s="13"/>
      <c r="F30" s="6"/>
      <c r="G30" s="6"/>
      <c r="H30" s="6"/>
      <c r="I30" s="6"/>
      <c r="J30" s="6"/>
      <c r="K30" s="6"/>
      <c r="L30" s="6"/>
      <c r="M30" s="6"/>
      <c r="N30" s="6"/>
      <c r="O30" s="10"/>
      <c r="P30" s="10"/>
      <c r="Q30" s="10"/>
      <c r="R30" s="10"/>
      <c r="S30" s="6"/>
    </row>
    <row r="31" spans="1:19" x14ac:dyDescent="0.25"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10"/>
      <c r="P31" s="10"/>
      <c r="Q31" s="10"/>
      <c r="R31" s="10"/>
      <c r="S31" s="6"/>
    </row>
    <row r="32" spans="1:19" x14ac:dyDescent="0.25"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10"/>
      <c r="P32" s="10"/>
      <c r="Q32" s="10"/>
      <c r="R32" s="10"/>
      <c r="S32" s="6"/>
    </row>
    <row r="33" spans="2:19" x14ac:dyDescent="0.25"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10"/>
      <c r="P33" s="10"/>
      <c r="Q33" s="10"/>
      <c r="R33" s="10"/>
      <c r="S33" s="6"/>
    </row>
    <row r="34" spans="2:19" x14ac:dyDescent="0.25"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10"/>
      <c r="P34" s="10"/>
      <c r="Q34" s="10"/>
      <c r="R34" s="10"/>
      <c r="S34" s="6"/>
    </row>
    <row r="35" spans="2:19" x14ac:dyDescent="0.25"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10"/>
      <c r="P35" s="10"/>
      <c r="Q35" s="10"/>
      <c r="R35" s="10"/>
      <c r="S35" s="6"/>
    </row>
    <row r="36" spans="2:19" x14ac:dyDescent="0.25"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10"/>
      <c r="P36" s="10"/>
      <c r="Q36" s="10"/>
      <c r="R36" s="10"/>
      <c r="S36" s="6"/>
    </row>
    <row r="37" spans="2:19" x14ac:dyDescent="0.25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10"/>
      <c r="P37" s="10"/>
      <c r="Q37" s="10"/>
      <c r="R37" s="10"/>
      <c r="S37" s="6"/>
    </row>
    <row r="38" spans="2:19" x14ac:dyDescent="0.25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10"/>
      <c r="P38" s="10"/>
      <c r="Q38" s="10"/>
      <c r="R38" s="10"/>
      <c r="S38" s="6"/>
    </row>
    <row r="39" spans="2:19" x14ac:dyDescent="0.25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10"/>
      <c r="P39" s="10"/>
      <c r="Q39" s="10"/>
      <c r="R39" s="10"/>
      <c r="S39" s="6"/>
    </row>
    <row r="40" spans="2:19" x14ac:dyDescent="0.25"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10"/>
      <c r="P40" s="10"/>
      <c r="Q40" s="10"/>
      <c r="R40" s="10"/>
      <c r="S40" s="6"/>
    </row>
    <row r="41" spans="2:19" x14ac:dyDescent="0.25"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10"/>
      <c r="P41" s="10"/>
      <c r="Q41" s="10"/>
      <c r="R41" s="10"/>
      <c r="S41" s="6"/>
    </row>
    <row r="42" spans="2:19" x14ac:dyDescent="0.25"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10"/>
      <c r="P42" s="10"/>
      <c r="Q42" s="10"/>
      <c r="R42" s="10"/>
      <c r="S42" s="6"/>
    </row>
    <row r="43" spans="2:19" x14ac:dyDescent="0.25"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10"/>
      <c r="P43" s="10"/>
      <c r="Q43" s="10"/>
      <c r="R43" s="10"/>
      <c r="S43" s="6"/>
    </row>
    <row r="44" spans="2:19" x14ac:dyDescent="0.25"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10"/>
      <c r="P44" s="10"/>
      <c r="Q44" s="10"/>
      <c r="R44" s="10"/>
      <c r="S44" s="6"/>
    </row>
    <row r="45" spans="2:19" x14ac:dyDescent="0.25"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10"/>
      <c r="P45" s="10"/>
      <c r="Q45" s="10"/>
      <c r="R45" s="10"/>
      <c r="S45" s="6"/>
    </row>
    <row r="46" spans="2:19" x14ac:dyDescent="0.25"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10"/>
      <c r="P46" s="10"/>
      <c r="Q46" s="10"/>
      <c r="R46" s="10"/>
      <c r="S46" s="6"/>
    </row>
    <row r="47" spans="2:19" x14ac:dyDescent="0.25"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10"/>
      <c r="P47" s="10"/>
      <c r="Q47" s="10"/>
      <c r="R47" s="10"/>
      <c r="S47" s="6"/>
    </row>
    <row r="48" spans="2:19" x14ac:dyDescent="0.25"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10"/>
      <c r="P48" s="10"/>
      <c r="Q48" s="10"/>
      <c r="R48" s="10"/>
      <c r="S48" s="6"/>
    </row>
    <row r="49" spans="2:21" x14ac:dyDescent="0.25"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10"/>
      <c r="P49" s="10"/>
      <c r="Q49" s="10"/>
      <c r="R49" s="10"/>
      <c r="S49" s="6"/>
    </row>
    <row r="50" spans="2:21" x14ac:dyDescent="0.25"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10"/>
      <c r="P50" s="10"/>
      <c r="Q50" s="10"/>
      <c r="R50" s="10"/>
      <c r="S50" s="6"/>
    </row>
    <row r="51" spans="2:21" x14ac:dyDescent="0.25"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10"/>
      <c r="P51" s="10"/>
      <c r="Q51" s="10"/>
      <c r="R51" s="10"/>
      <c r="S51" s="6"/>
    </row>
    <row r="52" spans="2:21" x14ac:dyDescent="0.25"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10"/>
      <c r="P52" s="10"/>
      <c r="Q52" s="10"/>
      <c r="R52" s="10"/>
      <c r="S52" s="6"/>
    </row>
    <row r="53" spans="2:21" x14ac:dyDescent="0.25"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10"/>
      <c r="P53" s="10"/>
      <c r="Q53" s="10"/>
      <c r="R53" s="10"/>
      <c r="S53" s="6"/>
    </row>
    <row r="54" spans="2:21" x14ac:dyDescent="0.25"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10"/>
      <c r="P54" s="10"/>
      <c r="Q54" s="10"/>
      <c r="R54" s="10"/>
      <c r="S54" s="6"/>
    </row>
    <row r="55" spans="2:21" x14ac:dyDescent="0.25"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10"/>
      <c r="P55" s="10"/>
      <c r="Q55" s="10"/>
      <c r="R55" s="10"/>
      <c r="S55" s="6"/>
    </row>
    <row r="56" spans="2:21" x14ac:dyDescent="0.25"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10"/>
      <c r="P56" s="10"/>
      <c r="Q56" s="10"/>
      <c r="R56" s="10"/>
      <c r="S56" s="6"/>
    </row>
    <row r="57" spans="2:21" x14ac:dyDescent="0.25"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10"/>
      <c r="P57" s="10"/>
      <c r="Q57" s="10"/>
      <c r="R57" s="10"/>
      <c r="S57" s="6"/>
    </row>
    <row r="58" spans="2:21" x14ac:dyDescent="0.25"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10"/>
      <c r="P58" s="10"/>
      <c r="Q58" s="10"/>
      <c r="R58" s="10"/>
      <c r="S58" s="6"/>
    </row>
    <row r="59" spans="2:21" x14ac:dyDescent="0.25"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10"/>
      <c r="P59" s="10"/>
      <c r="Q59" s="10"/>
      <c r="R59" s="10"/>
      <c r="S59" s="6"/>
    </row>
    <row r="60" spans="2:21" x14ac:dyDescent="0.25"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10"/>
      <c r="P60" s="10"/>
      <c r="Q60" s="10"/>
      <c r="R60" s="10"/>
      <c r="S60" s="6"/>
      <c r="U60" t="s">
        <v>10</v>
      </c>
    </row>
    <row r="61" spans="2:21" x14ac:dyDescent="0.25"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10"/>
      <c r="P61" s="10"/>
      <c r="Q61" s="10"/>
      <c r="R61" s="10"/>
      <c r="S61" s="6"/>
    </row>
    <row r="62" spans="2:21" x14ac:dyDescent="0.25"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10"/>
      <c r="P62" s="10"/>
      <c r="Q62" s="10"/>
      <c r="R62" s="10"/>
      <c r="S62" s="6"/>
    </row>
    <row r="63" spans="2:21" x14ac:dyDescent="0.25"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10"/>
      <c r="P63" s="10"/>
      <c r="Q63" s="10"/>
      <c r="R63" s="10"/>
      <c r="S63" s="6"/>
    </row>
    <row r="64" spans="2:21" x14ac:dyDescent="0.25"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10"/>
      <c r="P64" s="10"/>
      <c r="Q64" s="10"/>
      <c r="R64" s="10"/>
      <c r="S64" s="6"/>
    </row>
    <row r="65" spans="2:19" x14ac:dyDescent="0.25"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10"/>
      <c r="P65" s="10"/>
      <c r="Q65" s="10"/>
      <c r="R65" s="10"/>
      <c r="S65" s="6"/>
    </row>
    <row r="66" spans="2:19" x14ac:dyDescent="0.25"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10"/>
      <c r="P66" s="10"/>
      <c r="Q66" s="10"/>
      <c r="R66" s="10"/>
      <c r="S66" s="6"/>
    </row>
    <row r="67" spans="2:19" x14ac:dyDescent="0.25"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10"/>
      <c r="P67" s="10"/>
      <c r="Q67" s="10"/>
      <c r="R67" s="10"/>
      <c r="S67" s="6"/>
    </row>
    <row r="68" spans="2:19" x14ac:dyDescent="0.25"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10"/>
      <c r="P68" s="10"/>
      <c r="Q68" s="10"/>
      <c r="R68" s="10"/>
      <c r="S68" s="6"/>
    </row>
    <row r="69" spans="2:19" x14ac:dyDescent="0.25"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10"/>
      <c r="P69" s="10"/>
      <c r="Q69" s="10"/>
      <c r="R69" s="10"/>
      <c r="S69" s="6"/>
    </row>
    <row r="70" spans="2:19" x14ac:dyDescent="0.25"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10"/>
      <c r="P70" s="10"/>
      <c r="Q70" s="10"/>
      <c r="R70" s="10"/>
      <c r="S70" s="6"/>
    </row>
    <row r="71" spans="2:19" x14ac:dyDescent="0.25"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10"/>
      <c r="P71" s="10"/>
      <c r="Q71" s="10"/>
      <c r="R71" s="10"/>
      <c r="S71" s="6"/>
    </row>
    <row r="72" spans="2:19" x14ac:dyDescent="0.25"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10"/>
      <c r="P72" s="10"/>
      <c r="Q72" s="10"/>
      <c r="R72" s="10"/>
      <c r="S72" s="6"/>
    </row>
    <row r="73" spans="2:19" x14ac:dyDescent="0.25"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10"/>
      <c r="P73" s="10"/>
      <c r="Q73" s="10"/>
      <c r="R73" s="10"/>
      <c r="S73" s="6"/>
    </row>
    <row r="74" spans="2:19" x14ac:dyDescent="0.25"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10"/>
      <c r="P74" s="10"/>
      <c r="Q74" s="10"/>
      <c r="R74" s="10"/>
      <c r="S74" s="6"/>
    </row>
    <row r="75" spans="2:19" x14ac:dyDescent="0.25"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10"/>
      <c r="P75" s="10"/>
      <c r="Q75" s="10"/>
      <c r="R75" s="10"/>
      <c r="S75" s="6"/>
    </row>
    <row r="76" spans="2:19" x14ac:dyDescent="0.25"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10"/>
      <c r="P76" s="10"/>
      <c r="Q76" s="10"/>
      <c r="R76" s="10"/>
      <c r="S76" s="6"/>
    </row>
    <row r="77" spans="2:19" x14ac:dyDescent="0.25"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10"/>
      <c r="P77" s="10"/>
      <c r="Q77" s="10"/>
      <c r="R77" s="10"/>
      <c r="S77" s="6"/>
    </row>
    <row r="78" spans="2:19" x14ac:dyDescent="0.25"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10"/>
      <c r="P78" s="10"/>
      <c r="Q78" s="10"/>
      <c r="R78" s="10"/>
      <c r="S78" s="6"/>
    </row>
    <row r="79" spans="2:19" x14ac:dyDescent="0.25"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10"/>
      <c r="P79" s="10"/>
      <c r="Q79" s="10"/>
      <c r="R79" s="10"/>
      <c r="S79" s="6"/>
    </row>
    <row r="80" spans="2:19" x14ac:dyDescent="0.25"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10"/>
      <c r="P80" s="10"/>
      <c r="Q80" s="10"/>
      <c r="R80" s="10"/>
      <c r="S80" s="6"/>
    </row>
    <row r="81" spans="2:19" x14ac:dyDescent="0.25"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10"/>
      <c r="P81" s="10"/>
      <c r="Q81" s="10"/>
      <c r="R81" s="10"/>
      <c r="S81" s="6"/>
    </row>
    <row r="82" spans="2:19" x14ac:dyDescent="0.25"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10"/>
      <c r="P82" s="10"/>
      <c r="Q82" s="10"/>
      <c r="R82" s="10"/>
      <c r="S82" s="6"/>
    </row>
    <row r="83" spans="2:19" x14ac:dyDescent="0.25"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10"/>
      <c r="P83" s="10"/>
      <c r="Q83" s="10"/>
      <c r="R83" s="10"/>
      <c r="S83" s="6"/>
    </row>
    <row r="84" spans="2:19" x14ac:dyDescent="0.25"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10"/>
      <c r="P84" s="10"/>
      <c r="Q84" s="10"/>
      <c r="R84" s="10"/>
      <c r="S84" s="6"/>
    </row>
    <row r="85" spans="2:19" x14ac:dyDescent="0.25"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10"/>
      <c r="P85" s="10"/>
      <c r="Q85" s="10"/>
      <c r="R85" s="10"/>
      <c r="S85" s="6"/>
    </row>
    <row r="86" spans="2:19" x14ac:dyDescent="0.25"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10"/>
      <c r="P86" s="10"/>
      <c r="Q86" s="10"/>
      <c r="R86" s="10"/>
      <c r="S86" s="6"/>
    </row>
    <row r="87" spans="2:19" x14ac:dyDescent="0.25"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10"/>
      <c r="P87" s="10"/>
      <c r="Q87" s="10"/>
      <c r="R87" s="10"/>
      <c r="S87" s="6"/>
    </row>
    <row r="88" spans="2:19" x14ac:dyDescent="0.25"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10"/>
      <c r="P88" s="10"/>
      <c r="Q88" s="10"/>
      <c r="R88" s="10"/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EBBC-5C91-4F11-81CC-C15B0BFBAF2D}">
  <dimension ref="A1:U88"/>
  <sheetViews>
    <sheetView topLeftCell="K1" workbookViewId="0">
      <selection activeCell="D30" sqref="D30:E30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13190</v>
      </c>
      <c r="D9" s="1">
        <v>13190</v>
      </c>
      <c r="E9" s="1">
        <v>13240</v>
      </c>
      <c r="F9" s="6">
        <f>B9*2/C9*1000</f>
        <v>15163002.274450341</v>
      </c>
      <c r="G9" s="6">
        <f>B9*2/D9*1000</f>
        <v>15163002.274450341</v>
      </c>
      <c r="H9" s="6">
        <f>B9*2/E9*1000</f>
        <v>15105740.181268882</v>
      </c>
      <c r="I9" s="6">
        <f>F9/A9</f>
        <v>15163002.274450341</v>
      </c>
      <c r="J9" s="6">
        <f>G9/A9</f>
        <v>15163002.274450341</v>
      </c>
      <c r="K9" s="6">
        <f>H9/A9</f>
        <v>15105740.181268882</v>
      </c>
      <c r="L9" s="6">
        <f>(F9+G9+H9)/3</f>
        <v>15143914.910056522</v>
      </c>
      <c r="M9" s="6">
        <f>L9/A9</f>
        <v>15143914.910056522</v>
      </c>
      <c r="N9" s="6"/>
      <c r="O9" s="10">
        <f>(F9+G9+H9)/3/1000000</f>
        <v>15.143914910056521</v>
      </c>
      <c r="P9" s="10">
        <f>(I9+J9+K9)/3/1000000</f>
        <v>15.143914910056521</v>
      </c>
      <c r="Q9" s="10">
        <f>L9/1000000</f>
        <v>15.143914910056521</v>
      </c>
      <c r="R9" s="10">
        <f>M9/1000000</f>
        <v>15.143914910056521</v>
      </c>
      <c r="S9" s="6"/>
    </row>
    <row r="10" spans="1:19" x14ac:dyDescent="0.25">
      <c r="A10">
        <v>2</v>
      </c>
      <c r="B10" s="1">
        <f>$B$9*A10</f>
        <v>200000000</v>
      </c>
      <c r="C10" s="1">
        <v>13420</v>
      </c>
      <c r="D10" s="1">
        <v>13490</v>
      </c>
      <c r="E10" s="1">
        <v>13140</v>
      </c>
      <c r="F10" s="6">
        <f t="shared" ref="F10:F28" si="0">B10*2/C10*1000</f>
        <v>29806259.314456034</v>
      </c>
      <c r="G10" s="6">
        <f t="shared" ref="G10:G28" si="1">B10*2/D10*1000</f>
        <v>29651593.773165308</v>
      </c>
      <c r="H10" s="6">
        <f t="shared" ref="H10:H28" si="2">B10*2/E10*1000</f>
        <v>30441400.304414004</v>
      </c>
      <c r="I10" s="6">
        <f t="shared" ref="I10:I28" si="3">F10/A10</f>
        <v>14903129.657228017</v>
      </c>
      <c r="J10" s="6">
        <f t="shared" ref="J10:J28" si="4">G10/A10</f>
        <v>14825796.886582654</v>
      </c>
      <c r="K10" s="6">
        <f t="shared" ref="K10:K28" si="5">H10/A10</f>
        <v>15220700.152207002</v>
      </c>
      <c r="L10" s="6">
        <f t="shared" ref="L10:L12" si="6">$L$9*A10</f>
        <v>30287829.820113044</v>
      </c>
      <c r="M10" s="6">
        <f t="shared" ref="M10:M28" si="7">L10/A10</f>
        <v>15143914.910056522</v>
      </c>
      <c r="N10" s="6"/>
      <c r="O10" s="10">
        <f t="shared" ref="O10:O28" si="8">(F10+G10+H10)/3/1000000</f>
        <v>29.966417797345116</v>
      </c>
      <c r="P10" s="10">
        <f t="shared" ref="P10:P28" si="9">(I10+J10+K10)/3/1000000</f>
        <v>14.983208898672558</v>
      </c>
      <c r="Q10" s="10">
        <f t="shared" ref="Q10:R28" si="10">L10/1000000</f>
        <v>30.287829820113043</v>
      </c>
      <c r="R10" s="10">
        <f t="shared" si="10"/>
        <v>15.143914910056521</v>
      </c>
      <c r="S10" s="6"/>
    </row>
    <row r="11" spans="1:19" x14ac:dyDescent="0.25">
      <c r="A11">
        <v>3</v>
      </c>
      <c r="B11" s="1">
        <f t="shared" ref="B11:B28" si="11">$B$9*A11</f>
        <v>300000000</v>
      </c>
      <c r="C11" s="1">
        <v>13130</v>
      </c>
      <c r="D11" s="1">
        <v>13250</v>
      </c>
      <c r="E11" s="1">
        <v>12430</v>
      </c>
      <c r="F11" s="6">
        <f t="shared" si="0"/>
        <v>45696877.380045697</v>
      </c>
      <c r="G11" s="6">
        <f t="shared" si="1"/>
        <v>45283018.867924526</v>
      </c>
      <c r="H11" s="6">
        <f t="shared" si="2"/>
        <v>48270313.75703942</v>
      </c>
      <c r="I11" s="6">
        <f t="shared" si="3"/>
        <v>15232292.460015232</v>
      </c>
      <c r="J11" s="6">
        <f t="shared" si="4"/>
        <v>15094339.622641509</v>
      </c>
      <c r="K11" s="6">
        <f t="shared" si="5"/>
        <v>16090104.585679807</v>
      </c>
      <c r="L11" s="6">
        <f t="shared" si="6"/>
        <v>45431744.730169564</v>
      </c>
      <c r="M11" s="6">
        <f t="shared" si="7"/>
        <v>15143914.910056522</v>
      </c>
      <c r="N11" s="6"/>
      <c r="O11" s="10">
        <f t="shared" si="8"/>
        <v>46.416736668336547</v>
      </c>
      <c r="P11" s="10">
        <f t="shared" si="9"/>
        <v>15.472245556112183</v>
      </c>
      <c r="Q11" s="10">
        <f t="shared" si="10"/>
        <v>45.431744730169562</v>
      </c>
      <c r="R11" s="10">
        <f t="shared" si="10"/>
        <v>15.143914910056521</v>
      </c>
      <c r="S11" s="6"/>
    </row>
    <row r="12" spans="1:19" x14ac:dyDescent="0.25">
      <c r="A12">
        <v>4</v>
      </c>
      <c r="B12" s="1">
        <f t="shared" si="11"/>
        <v>400000000</v>
      </c>
      <c r="C12" s="1">
        <v>13100</v>
      </c>
      <c r="D12" s="1">
        <v>11930</v>
      </c>
      <c r="E12" s="1">
        <v>12190</v>
      </c>
      <c r="F12" s="6">
        <f t="shared" si="0"/>
        <v>61068702.29007633</v>
      </c>
      <c r="G12" s="6">
        <f t="shared" si="1"/>
        <v>67057837.384744346</v>
      </c>
      <c r="H12" s="6">
        <f t="shared" si="2"/>
        <v>65627563.576702215</v>
      </c>
      <c r="I12" s="6">
        <f t="shared" si="3"/>
        <v>15267175.572519083</v>
      </c>
      <c r="J12" s="6">
        <f t="shared" si="4"/>
        <v>16764459.346186087</v>
      </c>
      <c r="K12" s="6">
        <f t="shared" si="5"/>
        <v>16406890.894175554</v>
      </c>
      <c r="L12" s="6">
        <f t="shared" si="6"/>
        <v>60575659.640226088</v>
      </c>
      <c r="M12" s="6">
        <f t="shared" si="7"/>
        <v>15143914.910056522</v>
      </c>
      <c r="N12" s="6"/>
      <c r="O12" s="10">
        <f t="shared" si="8"/>
        <v>64.584701083840969</v>
      </c>
      <c r="P12" s="10">
        <f t="shared" si="9"/>
        <v>16.146175270960242</v>
      </c>
      <c r="Q12" s="10">
        <f t="shared" si="10"/>
        <v>60.575659640226085</v>
      </c>
      <c r="R12" s="10">
        <f t="shared" si="10"/>
        <v>15.143914910056521</v>
      </c>
      <c r="S12" s="6"/>
    </row>
    <row r="13" spans="1:19" x14ac:dyDescent="0.25">
      <c r="A13">
        <v>5</v>
      </c>
      <c r="B13" s="1">
        <f t="shared" si="11"/>
        <v>500000000</v>
      </c>
      <c r="C13" s="1">
        <v>13060</v>
      </c>
      <c r="D13" s="1">
        <v>13620</v>
      </c>
      <c r="E13" s="1">
        <v>12210</v>
      </c>
      <c r="F13" s="6">
        <f t="shared" si="0"/>
        <v>76569678.407350689</v>
      </c>
      <c r="G13" s="6">
        <f t="shared" si="1"/>
        <v>73421439.060205579</v>
      </c>
      <c r="H13" s="6">
        <f t="shared" si="2"/>
        <v>81900081.900081903</v>
      </c>
      <c r="I13" s="6">
        <f t="shared" si="3"/>
        <v>15313935.681470137</v>
      </c>
      <c r="J13" s="6">
        <f t="shared" si="4"/>
        <v>14684287.812041115</v>
      </c>
      <c r="K13" s="6">
        <f t="shared" si="5"/>
        <v>16380016.380016381</v>
      </c>
      <c r="L13" s="6">
        <f>$L$9*(4+(A13-4)*60%)</f>
        <v>69662008.586259991</v>
      </c>
      <c r="M13" s="6">
        <f t="shared" si="7"/>
        <v>13932401.717251997</v>
      </c>
      <c r="N13" s="6"/>
      <c r="O13" s="10">
        <f t="shared" si="8"/>
        <v>77.297066455879389</v>
      </c>
      <c r="P13" s="10">
        <f t="shared" si="9"/>
        <v>15.459413291175878</v>
      </c>
      <c r="Q13" s="10">
        <f t="shared" si="10"/>
        <v>69.662008586259986</v>
      </c>
      <c r="R13" s="10">
        <f t="shared" si="10"/>
        <v>13.932401717251997</v>
      </c>
      <c r="S13" s="6"/>
    </row>
    <row r="14" spans="1:19" x14ac:dyDescent="0.25">
      <c r="A14">
        <v>6</v>
      </c>
      <c r="B14" s="1">
        <f t="shared" si="11"/>
        <v>600000000</v>
      </c>
      <c r="C14" s="1">
        <v>15100</v>
      </c>
      <c r="D14" s="1">
        <v>12730</v>
      </c>
      <c r="E14" s="1">
        <v>13920</v>
      </c>
      <c r="F14" s="6">
        <f t="shared" si="0"/>
        <v>79470198.675496697</v>
      </c>
      <c r="G14" s="6">
        <f t="shared" si="1"/>
        <v>94265514.53260015</v>
      </c>
      <c r="H14" s="6">
        <f t="shared" si="2"/>
        <v>86206896.551724151</v>
      </c>
      <c r="I14" s="6">
        <f t="shared" si="3"/>
        <v>13245033.112582782</v>
      </c>
      <c r="J14" s="6">
        <f t="shared" si="4"/>
        <v>15710919.088766692</v>
      </c>
      <c r="K14" s="6">
        <f t="shared" si="5"/>
        <v>14367816.091954025</v>
      </c>
      <c r="L14" s="6">
        <f t="shared" ref="L14:L20" si="12">$L$9*(4+(A14-4)*60%)</f>
        <v>78748357.532293916</v>
      </c>
      <c r="M14" s="6">
        <f t="shared" si="7"/>
        <v>13124726.25538232</v>
      </c>
      <c r="N14" s="6"/>
      <c r="O14" s="10">
        <f t="shared" si="8"/>
        <v>86.647536586606989</v>
      </c>
      <c r="P14" s="10">
        <f t="shared" si="9"/>
        <v>14.441256097767832</v>
      </c>
      <c r="Q14" s="10">
        <f t="shared" si="10"/>
        <v>78.748357532293909</v>
      </c>
      <c r="R14" s="10">
        <f t="shared" si="10"/>
        <v>13.124726255382321</v>
      </c>
      <c r="S14" s="6"/>
    </row>
    <row r="15" spans="1:19" x14ac:dyDescent="0.25">
      <c r="A15">
        <v>7</v>
      </c>
      <c r="B15" s="1">
        <f t="shared" si="11"/>
        <v>700000000</v>
      </c>
      <c r="C15" s="1">
        <v>15110</v>
      </c>
      <c r="D15" s="1">
        <v>13380</v>
      </c>
      <c r="E15" s="1">
        <v>15310</v>
      </c>
      <c r="F15" s="6">
        <f t="shared" si="0"/>
        <v>92653871.608206496</v>
      </c>
      <c r="G15" s="6">
        <f t="shared" si="1"/>
        <v>104633781.76382661</v>
      </c>
      <c r="H15" s="6">
        <f t="shared" si="2"/>
        <v>91443500.979751796</v>
      </c>
      <c r="I15" s="6">
        <f t="shared" si="3"/>
        <v>13236267.372600928</v>
      </c>
      <c r="J15" s="6">
        <f t="shared" si="4"/>
        <v>14947683.109118087</v>
      </c>
      <c r="K15" s="6">
        <f t="shared" si="5"/>
        <v>13063357.282821685</v>
      </c>
      <c r="L15" s="6">
        <f t="shared" si="12"/>
        <v>87834706.478327826</v>
      </c>
      <c r="M15" s="6">
        <f t="shared" si="7"/>
        <v>12547815.211189689</v>
      </c>
      <c r="N15" s="6"/>
      <c r="O15" s="10">
        <f t="shared" si="8"/>
        <v>96.24371811726165</v>
      </c>
      <c r="P15" s="10">
        <f t="shared" si="9"/>
        <v>13.749102588180234</v>
      </c>
      <c r="Q15" s="10">
        <f t="shared" si="10"/>
        <v>87.834706478327831</v>
      </c>
      <c r="R15" s="10">
        <f t="shared" si="10"/>
        <v>12.54781521118969</v>
      </c>
      <c r="S15" s="6"/>
    </row>
    <row r="16" spans="1:19" x14ac:dyDescent="0.25">
      <c r="A16">
        <v>8</v>
      </c>
      <c r="B16" s="1">
        <f t="shared" si="11"/>
        <v>800000000</v>
      </c>
      <c r="C16" s="1">
        <v>14670</v>
      </c>
      <c r="D16" s="1">
        <v>16150</v>
      </c>
      <c r="E16" s="1">
        <v>14170</v>
      </c>
      <c r="F16" s="6">
        <f t="shared" si="0"/>
        <v>109066121.33605997</v>
      </c>
      <c r="G16" s="6">
        <f t="shared" si="1"/>
        <v>99071207.430340558</v>
      </c>
      <c r="H16" s="6">
        <f t="shared" si="2"/>
        <v>112914608.32745238</v>
      </c>
      <c r="I16" s="6">
        <f t="shared" si="3"/>
        <v>13633265.167007497</v>
      </c>
      <c r="J16" s="6">
        <f t="shared" si="4"/>
        <v>12383900.92879257</v>
      </c>
      <c r="K16" s="6">
        <f t="shared" si="5"/>
        <v>14114326.040931547</v>
      </c>
      <c r="L16" s="6">
        <f t="shared" si="12"/>
        <v>96921055.42436175</v>
      </c>
      <c r="M16" s="6">
        <f t="shared" si="7"/>
        <v>12115131.928045219</v>
      </c>
      <c r="N16" s="6"/>
      <c r="O16" s="10">
        <f t="shared" si="8"/>
        <v>107.01731236461764</v>
      </c>
      <c r="P16" s="10">
        <f t="shared" si="9"/>
        <v>13.377164045577205</v>
      </c>
      <c r="Q16" s="10">
        <f t="shared" si="10"/>
        <v>96.921055424361754</v>
      </c>
      <c r="R16" s="10">
        <f t="shared" si="10"/>
        <v>12.115131928045219</v>
      </c>
      <c r="S16" s="6"/>
    </row>
    <row r="17" spans="1:19" x14ac:dyDescent="0.25">
      <c r="A17">
        <v>9</v>
      </c>
      <c r="B17" s="1">
        <f t="shared" si="11"/>
        <v>900000000</v>
      </c>
      <c r="C17" s="1">
        <v>16460</v>
      </c>
      <c r="D17" s="1">
        <v>15260</v>
      </c>
      <c r="E17" s="1">
        <v>16010</v>
      </c>
      <c r="F17" s="6">
        <f t="shared" si="0"/>
        <v>109356014.58080195</v>
      </c>
      <c r="G17" s="6">
        <f t="shared" si="1"/>
        <v>117955439.05635647</v>
      </c>
      <c r="H17" s="6">
        <f t="shared" si="2"/>
        <v>112429731.41786383</v>
      </c>
      <c r="I17" s="6">
        <f t="shared" si="3"/>
        <v>12150668.286755772</v>
      </c>
      <c r="J17" s="6">
        <f t="shared" si="4"/>
        <v>13106159.895150719</v>
      </c>
      <c r="K17" s="6">
        <f t="shared" si="5"/>
        <v>12492192.379762648</v>
      </c>
      <c r="L17" s="6">
        <f t="shared" si="12"/>
        <v>106007404.37039566</v>
      </c>
      <c r="M17" s="6">
        <f t="shared" si="7"/>
        <v>11778600.485599518</v>
      </c>
      <c r="N17" s="6"/>
      <c r="O17" s="10">
        <f t="shared" si="8"/>
        <v>113.24706168500741</v>
      </c>
      <c r="P17" s="10">
        <f t="shared" si="9"/>
        <v>12.583006853889714</v>
      </c>
      <c r="Q17" s="10">
        <f t="shared" si="10"/>
        <v>106.00740437039566</v>
      </c>
      <c r="R17" s="10">
        <f t="shared" si="10"/>
        <v>11.778600485599517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16900</v>
      </c>
      <c r="D18" s="1">
        <v>15710</v>
      </c>
      <c r="E18" s="1">
        <v>16710</v>
      </c>
      <c r="F18" s="6">
        <f t="shared" si="0"/>
        <v>118343195.26627219</v>
      </c>
      <c r="G18" s="6">
        <f t="shared" si="1"/>
        <v>127307447.48567791</v>
      </c>
      <c r="H18" s="6">
        <f t="shared" si="2"/>
        <v>119688809.09634949</v>
      </c>
      <c r="I18" s="6">
        <f t="shared" si="3"/>
        <v>11834319.526627218</v>
      </c>
      <c r="J18" s="6">
        <f t="shared" si="4"/>
        <v>12730744.748567792</v>
      </c>
      <c r="K18" s="6">
        <f t="shared" si="5"/>
        <v>11968880.90963495</v>
      </c>
      <c r="L18" s="6">
        <f t="shared" si="12"/>
        <v>115093753.31642956</v>
      </c>
      <c r="M18" s="6">
        <f t="shared" si="7"/>
        <v>11509375.331642956</v>
      </c>
      <c r="N18" s="6"/>
      <c r="O18" s="10">
        <f t="shared" si="8"/>
        <v>121.77981728276652</v>
      </c>
      <c r="P18" s="10">
        <f t="shared" si="9"/>
        <v>12.177981728276654</v>
      </c>
      <c r="Q18" s="10">
        <f t="shared" si="10"/>
        <v>115.09375331642956</v>
      </c>
      <c r="R18" s="10">
        <f t="shared" si="10"/>
        <v>11.509375331642955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16820</v>
      </c>
      <c r="D19" s="1">
        <v>16970</v>
      </c>
      <c r="E19" s="1">
        <v>17000</v>
      </c>
      <c r="F19" s="6">
        <f t="shared" si="0"/>
        <v>130796670.63020213</v>
      </c>
      <c r="G19" s="6">
        <f t="shared" si="1"/>
        <v>129640542.13317619</v>
      </c>
      <c r="H19" s="6">
        <f t="shared" si="2"/>
        <v>129411764.70588236</v>
      </c>
      <c r="I19" s="6">
        <f t="shared" si="3"/>
        <v>11890606.420927467</v>
      </c>
      <c r="J19" s="6">
        <f t="shared" si="4"/>
        <v>11785503.830288745</v>
      </c>
      <c r="K19" s="6">
        <f t="shared" si="5"/>
        <v>11764705.882352941</v>
      </c>
      <c r="L19" s="6">
        <f t="shared" si="12"/>
        <v>124180102.26246347</v>
      </c>
      <c r="M19" s="6">
        <f t="shared" si="7"/>
        <v>11289100.205678497</v>
      </c>
      <c r="N19" s="6"/>
      <c r="O19" s="10">
        <f t="shared" si="8"/>
        <v>129.94965915642024</v>
      </c>
      <c r="P19" s="10">
        <f t="shared" si="9"/>
        <v>11.813605377856383</v>
      </c>
      <c r="Q19" s="10">
        <f t="shared" si="10"/>
        <v>124.18010226246346</v>
      </c>
      <c r="R19" s="10">
        <f t="shared" si="10"/>
        <v>11.289100205678496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16950</v>
      </c>
      <c r="D20" s="1">
        <v>16760</v>
      </c>
      <c r="E20" s="1">
        <v>16820</v>
      </c>
      <c r="F20" s="6">
        <f t="shared" si="0"/>
        <v>141592920.3539823</v>
      </c>
      <c r="G20" s="6">
        <f t="shared" si="1"/>
        <v>143198090.6921241</v>
      </c>
      <c r="H20" s="6">
        <f t="shared" si="2"/>
        <v>142687277.05112961</v>
      </c>
      <c r="I20" s="6">
        <f t="shared" si="3"/>
        <v>11799410.029498525</v>
      </c>
      <c r="J20" s="6">
        <f t="shared" si="4"/>
        <v>11933174.224343674</v>
      </c>
      <c r="K20" s="6">
        <f t="shared" si="5"/>
        <v>11890606.420927467</v>
      </c>
      <c r="L20" s="6">
        <f t="shared" si="12"/>
        <v>133266451.20849741</v>
      </c>
      <c r="M20" s="6">
        <f t="shared" si="7"/>
        <v>11105537.600708118</v>
      </c>
      <c r="N20" s="6"/>
      <c r="O20" s="10">
        <f t="shared" si="8"/>
        <v>142.49276269907867</v>
      </c>
      <c r="P20" s="10">
        <f t="shared" si="9"/>
        <v>11.874396891589887</v>
      </c>
      <c r="Q20" s="10">
        <f t="shared" si="10"/>
        <v>133.26645120849741</v>
      </c>
      <c r="R20" s="10">
        <f t="shared" si="10"/>
        <v>11.105537600708118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18350</v>
      </c>
      <c r="D21" s="1">
        <v>17510</v>
      </c>
      <c r="E21" s="1">
        <v>18370</v>
      </c>
      <c r="F21" s="6">
        <f t="shared" si="0"/>
        <v>141689373.29700273</v>
      </c>
      <c r="G21" s="6">
        <f t="shared" si="1"/>
        <v>148486579.09765849</v>
      </c>
      <c r="H21" s="6">
        <f t="shared" si="2"/>
        <v>141535111.59499183</v>
      </c>
      <c r="I21" s="6">
        <f t="shared" si="3"/>
        <v>10899182.561307903</v>
      </c>
      <c r="J21" s="6">
        <f t="shared" si="4"/>
        <v>11422044.545973729</v>
      </c>
      <c r="K21" s="6">
        <f t="shared" si="5"/>
        <v>10887316.276537834</v>
      </c>
      <c r="L21" s="6">
        <f>$L$9*(4+8*60%+(A21-12)*30%)</f>
        <v>137809625.68151438</v>
      </c>
      <c r="M21" s="6">
        <f t="shared" si="7"/>
        <v>10600740.437039567</v>
      </c>
      <c r="N21" s="6"/>
      <c r="O21" s="10">
        <f t="shared" si="8"/>
        <v>143.90368799655101</v>
      </c>
      <c r="P21" s="10">
        <f t="shared" si="9"/>
        <v>11.069514461273156</v>
      </c>
      <c r="Q21" s="10">
        <f t="shared" si="10"/>
        <v>137.80962568151438</v>
      </c>
      <c r="R21" s="10">
        <f t="shared" si="10"/>
        <v>10.600740437039567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19490</v>
      </c>
      <c r="D22" s="1">
        <v>18860</v>
      </c>
      <c r="E22" s="1">
        <v>18150</v>
      </c>
      <c r="F22" s="6">
        <f t="shared" si="0"/>
        <v>143663417.13699332</v>
      </c>
      <c r="G22" s="6">
        <f t="shared" si="1"/>
        <v>148462354.1887593</v>
      </c>
      <c r="H22" s="6">
        <f t="shared" si="2"/>
        <v>154269972.45179063</v>
      </c>
      <c r="I22" s="6">
        <f t="shared" si="3"/>
        <v>10261672.65264238</v>
      </c>
      <c r="J22" s="6">
        <f t="shared" si="4"/>
        <v>10604453.870625664</v>
      </c>
      <c r="K22" s="6">
        <f t="shared" si="5"/>
        <v>11019283.746556474</v>
      </c>
      <c r="L22" s="6">
        <f>$L$9*(4+8*60%+(A22-12)*30%)</f>
        <v>142352800.1545313</v>
      </c>
      <c r="M22" s="6">
        <f t="shared" si="7"/>
        <v>10168057.153895093</v>
      </c>
      <c r="N22" s="6"/>
      <c r="O22" s="10">
        <f t="shared" si="8"/>
        <v>148.79858125918108</v>
      </c>
      <c r="P22" s="10">
        <f t="shared" si="9"/>
        <v>10.628470089941507</v>
      </c>
      <c r="Q22" s="10">
        <f t="shared" si="10"/>
        <v>142.35280015453131</v>
      </c>
      <c r="R22" s="10">
        <f t="shared" si="10"/>
        <v>10.168057153895093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19620</v>
      </c>
      <c r="D23" s="1">
        <v>19680</v>
      </c>
      <c r="E23" s="1">
        <v>19730</v>
      </c>
      <c r="F23" s="6">
        <f t="shared" si="0"/>
        <v>152905198.77675843</v>
      </c>
      <c r="G23" s="6">
        <f t="shared" si="1"/>
        <v>152439024.39024389</v>
      </c>
      <c r="H23" s="6">
        <f t="shared" si="2"/>
        <v>152052711.60669032</v>
      </c>
      <c r="I23" s="6">
        <f t="shared" si="3"/>
        <v>10193679.918450562</v>
      </c>
      <c r="J23" s="6">
        <f t="shared" si="4"/>
        <v>10162601.626016259</v>
      </c>
      <c r="K23" s="6">
        <f t="shared" si="5"/>
        <v>10136847.440446021</v>
      </c>
      <c r="L23" s="6">
        <f>$L$22</f>
        <v>142352800.1545313</v>
      </c>
      <c r="M23" s="6">
        <f t="shared" si="7"/>
        <v>9490186.6769687533</v>
      </c>
      <c r="N23" s="6"/>
      <c r="O23" s="10">
        <f t="shared" si="8"/>
        <v>152.4656449245642</v>
      </c>
      <c r="P23" s="10">
        <f t="shared" si="9"/>
        <v>10.164376328304282</v>
      </c>
      <c r="Q23" s="10">
        <f t="shared" si="10"/>
        <v>142.35280015453131</v>
      </c>
      <c r="R23" s="10">
        <f t="shared" si="10"/>
        <v>9.4901866769687526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21070</v>
      </c>
      <c r="D24" s="1">
        <v>20940</v>
      </c>
      <c r="E24" s="1">
        <v>20780</v>
      </c>
      <c r="F24" s="6">
        <f t="shared" si="0"/>
        <v>151874703.36971998</v>
      </c>
      <c r="G24" s="6">
        <f t="shared" si="1"/>
        <v>152817574.0210124</v>
      </c>
      <c r="H24" s="6">
        <f t="shared" si="2"/>
        <v>153994225.2165544</v>
      </c>
      <c r="I24" s="6">
        <f t="shared" si="3"/>
        <v>9492168.9606074989</v>
      </c>
      <c r="J24" s="6">
        <f t="shared" si="4"/>
        <v>9551098.3763132747</v>
      </c>
      <c r="K24" s="6">
        <f t="shared" si="5"/>
        <v>9624639.0760346502</v>
      </c>
      <c r="L24" s="6">
        <f t="shared" ref="L24:L28" si="13">$L$22</f>
        <v>142352800.1545313</v>
      </c>
      <c r="M24" s="6">
        <f t="shared" si="7"/>
        <v>8897050.0096582063</v>
      </c>
      <c r="N24" s="6"/>
      <c r="O24" s="10">
        <f t="shared" si="8"/>
        <v>152.8955008690956</v>
      </c>
      <c r="P24" s="10">
        <f t="shared" si="9"/>
        <v>9.555968804318475</v>
      </c>
      <c r="Q24" s="10">
        <f t="shared" si="10"/>
        <v>142.35280015453131</v>
      </c>
      <c r="R24" s="10">
        <f t="shared" si="10"/>
        <v>8.8970500096582068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22080</v>
      </c>
      <c r="D25" s="1">
        <v>22290</v>
      </c>
      <c r="E25" s="1">
        <v>22310</v>
      </c>
      <c r="F25" s="6">
        <f t="shared" si="0"/>
        <v>153985507.24637681</v>
      </c>
      <c r="G25" s="6">
        <f t="shared" si="1"/>
        <v>152534768.95468819</v>
      </c>
      <c r="H25" s="6">
        <f t="shared" si="2"/>
        <v>152398027.79022861</v>
      </c>
      <c r="I25" s="6">
        <f t="shared" si="3"/>
        <v>9057971.0144927539</v>
      </c>
      <c r="J25" s="6">
        <f t="shared" si="4"/>
        <v>8972633.4679228347</v>
      </c>
      <c r="K25" s="6">
        <f t="shared" si="5"/>
        <v>8964589.8700134475</v>
      </c>
      <c r="L25" s="6">
        <f t="shared" si="13"/>
        <v>142352800.1545313</v>
      </c>
      <c r="M25" s="6">
        <f t="shared" si="7"/>
        <v>8373694.1267371355</v>
      </c>
      <c r="N25" s="6"/>
      <c r="O25" s="10">
        <f t="shared" si="8"/>
        <v>152.97276799709789</v>
      </c>
      <c r="P25" s="10">
        <f t="shared" si="9"/>
        <v>8.998398117476345</v>
      </c>
      <c r="Q25" s="10">
        <f t="shared" si="10"/>
        <v>142.35280015453131</v>
      </c>
      <c r="R25" s="10">
        <f t="shared" si="10"/>
        <v>8.373694126737135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23820</v>
      </c>
      <c r="D26" s="1">
        <v>23740</v>
      </c>
      <c r="E26" s="1">
        <v>24100</v>
      </c>
      <c r="F26" s="6">
        <f t="shared" si="0"/>
        <v>151133501.25944585</v>
      </c>
      <c r="G26" s="6">
        <f t="shared" si="1"/>
        <v>151642796.96714407</v>
      </c>
      <c r="H26" s="6">
        <f t="shared" si="2"/>
        <v>149377593.36099586</v>
      </c>
      <c r="I26" s="6">
        <f t="shared" si="3"/>
        <v>8396305.6255247686</v>
      </c>
      <c r="J26" s="6">
        <f t="shared" si="4"/>
        <v>8424599.8315080032</v>
      </c>
      <c r="K26" s="6">
        <f t="shared" si="5"/>
        <v>8298755.1867219917</v>
      </c>
      <c r="L26" s="6">
        <f t="shared" si="13"/>
        <v>142352800.1545313</v>
      </c>
      <c r="M26" s="6">
        <f t="shared" si="7"/>
        <v>7908488.8974739611</v>
      </c>
      <c r="N26" s="6"/>
      <c r="O26" s="10">
        <f t="shared" si="8"/>
        <v>150.71796386252859</v>
      </c>
      <c r="P26" s="10">
        <f t="shared" si="9"/>
        <v>8.3732202145849204</v>
      </c>
      <c r="Q26" s="10">
        <f t="shared" si="10"/>
        <v>142.35280015453131</v>
      </c>
      <c r="R26" s="10">
        <f t="shared" si="10"/>
        <v>7.9084888974739611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24810</v>
      </c>
      <c r="D27" s="1">
        <v>25210</v>
      </c>
      <c r="E27" s="1">
        <v>24820</v>
      </c>
      <c r="F27" s="6">
        <f t="shared" si="0"/>
        <v>153164046.75534058</v>
      </c>
      <c r="G27" s="6">
        <f t="shared" si="1"/>
        <v>150733835.77945262</v>
      </c>
      <c r="H27" s="6">
        <f t="shared" si="2"/>
        <v>153102336.82514101</v>
      </c>
      <c r="I27" s="6">
        <f t="shared" si="3"/>
        <v>8061265.618702136</v>
      </c>
      <c r="J27" s="6">
        <f t="shared" si="4"/>
        <v>7933359.7778659277</v>
      </c>
      <c r="K27" s="6">
        <f t="shared" si="5"/>
        <v>8058017.7276390009</v>
      </c>
      <c r="L27" s="6">
        <f t="shared" si="13"/>
        <v>142352800.1545313</v>
      </c>
      <c r="M27" s="6">
        <f t="shared" si="7"/>
        <v>7492252.6397121735</v>
      </c>
      <c r="N27" s="6"/>
      <c r="O27" s="10">
        <f t="shared" si="8"/>
        <v>152.33340645331143</v>
      </c>
      <c r="P27" s="10">
        <f t="shared" si="9"/>
        <v>8.0175477080690225</v>
      </c>
      <c r="Q27" s="10">
        <f t="shared" si="10"/>
        <v>142.35280015453131</v>
      </c>
      <c r="R27" s="10">
        <f t="shared" si="10"/>
        <v>7.4922526397121736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26480</v>
      </c>
      <c r="D28" s="1">
        <v>26150</v>
      </c>
      <c r="E28" s="1">
        <v>26090</v>
      </c>
      <c r="F28" s="6">
        <f t="shared" si="0"/>
        <v>151057401.81268883</v>
      </c>
      <c r="G28" s="6">
        <f t="shared" si="1"/>
        <v>152963671.12810707</v>
      </c>
      <c r="H28" s="6">
        <f t="shared" si="2"/>
        <v>153315446.53123802</v>
      </c>
      <c r="I28" s="6">
        <f t="shared" si="3"/>
        <v>7552870.090634441</v>
      </c>
      <c r="J28" s="6">
        <f t="shared" si="4"/>
        <v>7648183.5564053534</v>
      </c>
      <c r="K28" s="6">
        <f t="shared" si="5"/>
        <v>7665772.3265619008</v>
      </c>
      <c r="L28" s="6">
        <f t="shared" si="13"/>
        <v>142352800.1545313</v>
      </c>
      <c r="M28" s="6">
        <f t="shared" si="7"/>
        <v>7117640.007726565</v>
      </c>
      <c r="N28" s="6"/>
      <c r="O28" s="10">
        <f t="shared" si="8"/>
        <v>152.44550649067799</v>
      </c>
      <c r="P28" s="10">
        <f t="shared" si="9"/>
        <v>7.6222753245338986</v>
      </c>
      <c r="Q28" s="10">
        <f t="shared" si="10"/>
        <v>142.35280015453131</v>
      </c>
      <c r="R28" s="10">
        <f t="shared" si="10"/>
        <v>7.1176400077265649</v>
      </c>
      <c r="S28" s="6"/>
    </row>
    <row r="29" spans="1:19" x14ac:dyDescent="0.25"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10"/>
      <c r="P29" s="10"/>
      <c r="Q29" s="10"/>
      <c r="R29" s="10"/>
      <c r="S29" s="6"/>
    </row>
    <row r="30" spans="1:19" x14ac:dyDescent="0.25">
      <c r="B30" s="1"/>
      <c r="C30" s="1"/>
      <c r="D30" s="13"/>
      <c r="E30" s="13"/>
      <c r="F30" s="6"/>
      <c r="G30" s="6"/>
      <c r="H30" s="6"/>
      <c r="I30" s="6"/>
      <c r="J30" s="6"/>
      <c r="K30" s="6"/>
      <c r="L30" s="6"/>
      <c r="M30" s="6"/>
      <c r="N30" s="6"/>
      <c r="O30" s="10"/>
      <c r="P30" s="10"/>
      <c r="Q30" s="10"/>
      <c r="R30" s="10"/>
      <c r="S30" s="6"/>
    </row>
    <row r="31" spans="1:19" x14ac:dyDescent="0.25"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10"/>
      <c r="P31" s="10"/>
      <c r="Q31" s="10"/>
      <c r="R31" s="10"/>
      <c r="S31" s="6"/>
    </row>
    <row r="32" spans="1:19" x14ac:dyDescent="0.25"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10"/>
      <c r="P32" s="10"/>
      <c r="Q32" s="10"/>
      <c r="R32" s="10"/>
      <c r="S32" s="6"/>
    </row>
    <row r="33" spans="2:19" x14ac:dyDescent="0.25"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10"/>
      <c r="P33" s="10"/>
      <c r="Q33" s="10"/>
      <c r="R33" s="10"/>
      <c r="S33" s="6"/>
    </row>
    <row r="34" spans="2:19" x14ac:dyDescent="0.25"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10"/>
      <c r="P34" s="10"/>
      <c r="Q34" s="10"/>
      <c r="R34" s="10"/>
      <c r="S34" s="6"/>
    </row>
    <row r="35" spans="2:19" x14ac:dyDescent="0.25"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10"/>
      <c r="P35" s="10"/>
      <c r="Q35" s="10"/>
      <c r="R35" s="10"/>
      <c r="S35" s="6"/>
    </row>
    <row r="36" spans="2:19" x14ac:dyDescent="0.25"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10"/>
      <c r="P36" s="10"/>
      <c r="Q36" s="10"/>
      <c r="R36" s="10"/>
      <c r="S36" s="6"/>
    </row>
    <row r="37" spans="2:19" x14ac:dyDescent="0.25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10"/>
      <c r="P37" s="10"/>
      <c r="Q37" s="10"/>
      <c r="R37" s="10"/>
      <c r="S37" s="6"/>
    </row>
    <row r="38" spans="2:19" x14ac:dyDescent="0.25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10"/>
      <c r="P38" s="10"/>
      <c r="Q38" s="10"/>
      <c r="R38" s="10"/>
      <c r="S38" s="6"/>
    </row>
    <row r="39" spans="2:19" x14ac:dyDescent="0.25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10"/>
      <c r="P39" s="10"/>
      <c r="Q39" s="10"/>
      <c r="R39" s="10"/>
      <c r="S39" s="6"/>
    </row>
    <row r="40" spans="2:19" x14ac:dyDescent="0.25"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10"/>
      <c r="P40" s="10"/>
      <c r="Q40" s="10"/>
      <c r="R40" s="10"/>
      <c r="S40" s="6"/>
    </row>
    <row r="41" spans="2:19" x14ac:dyDescent="0.25"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10"/>
      <c r="P41" s="10"/>
      <c r="Q41" s="10"/>
      <c r="R41" s="10"/>
      <c r="S41" s="6"/>
    </row>
    <row r="42" spans="2:19" x14ac:dyDescent="0.25"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10"/>
      <c r="P42" s="10"/>
      <c r="Q42" s="10"/>
      <c r="R42" s="10"/>
      <c r="S42" s="6"/>
    </row>
    <row r="43" spans="2:19" x14ac:dyDescent="0.25"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10"/>
      <c r="P43" s="10"/>
      <c r="Q43" s="10"/>
      <c r="R43" s="10"/>
      <c r="S43" s="6"/>
    </row>
    <row r="44" spans="2:19" x14ac:dyDescent="0.25"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10"/>
      <c r="P44" s="10"/>
      <c r="Q44" s="10"/>
      <c r="R44" s="10"/>
      <c r="S44" s="6"/>
    </row>
    <row r="45" spans="2:19" x14ac:dyDescent="0.25"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10"/>
      <c r="P45" s="10"/>
      <c r="Q45" s="10"/>
      <c r="R45" s="10"/>
      <c r="S45" s="6"/>
    </row>
    <row r="46" spans="2:19" x14ac:dyDescent="0.25"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10"/>
      <c r="P46" s="10"/>
      <c r="Q46" s="10"/>
      <c r="R46" s="10"/>
      <c r="S46" s="6"/>
    </row>
    <row r="47" spans="2:19" x14ac:dyDescent="0.25"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10"/>
      <c r="P47" s="10"/>
      <c r="Q47" s="10"/>
      <c r="R47" s="10"/>
      <c r="S47" s="6"/>
    </row>
    <row r="48" spans="2:19" x14ac:dyDescent="0.25"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10"/>
      <c r="P48" s="10"/>
      <c r="Q48" s="10"/>
      <c r="R48" s="10"/>
      <c r="S48" s="6"/>
    </row>
    <row r="49" spans="2:21" x14ac:dyDescent="0.25"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10"/>
      <c r="P49" s="10"/>
      <c r="Q49" s="10"/>
      <c r="R49" s="10"/>
      <c r="S49" s="6"/>
    </row>
    <row r="50" spans="2:21" x14ac:dyDescent="0.25"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10"/>
      <c r="P50" s="10"/>
      <c r="Q50" s="10"/>
      <c r="R50" s="10"/>
      <c r="S50" s="6"/>
    </row>
    <row r="51" spans="2:21" x14ac:dyDescent="0.25"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10"/>
      <c r="P51" s="10"/>
      <c r="Q51" s="10"/>
      <c r="R51" s="10"/>
      <c r="S51" s="6"/>
    </row>
    <row r="52" spans="2:21" x14ac:dyDescent="0.25"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10"/>
      <c r="P52" s="10"/>
      <c r="Q52" s="10"/>
      <c r="R52" s="10"/>
      <c r="S52" s="6"/>
    </row>
    <row r="53" spans="2:21" x14ac:dyDescent="0.25"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10"/>
      <c r="P53" s="10"/>
      <c r="Q53" s="10"/>
      <c r="R53" s="10"/>
      <c r="S53" s="6"/>
    </row>
    <row r="54" spans="2:21" x14ac:dyDescent="0.25"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10"/>
      <c r="P54" s="10"/>
      <c r="Q54" s="10"/>
      <c r="R54" s="10"/>
      <c r="S54" s="6"/>
    </row>
    <row r="55" spans="2:21" x14ac:dyDescent="0.25"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10"/>
      <c r="P55" s="10"/>
      <c r="Q55" s="10"/>
      <c r="R55" s="10"/>
      <c r="S55" s="6"/>
    </row>
    <row r="56" spans="2:21" x14ac:dyDescent="0.25"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10"/>
      <c r="P56" s="10"/>
      <c r="Q56" s="10"/>
      <c r="R56" s="10"/>
      <c r="S56" s="6"/>
    </row>
    <row r="57" spans="2:21" x14ac:dyDescent="0.25"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10"/>
      <c r="P57" s="10"/>
      <c r="Q57" s="10"/>
      <c r="R57" s="10"/>
      <c r="S57" s="6"/>
    </row>
    <row r="58" spans="2:21" x14ac:dyDescent="0.25"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10"/>
      <c r="P58" s="10"/>
      <c r="Q58" s="10"/>
      <c r="R58" s="10"/>
      <c r="S58" s="6"/>
    </row>
    <row r="59" spans="2:21" x14ac:dyDescent="0.25"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10"/>
      <c r="P59" s="10"/>
      <c r="Q59" s="10"/>
      <c r="R59" s="10"/>
      <c r="S59" s="6"/>
    </row>
    <row r="60" spans="2:21" x14ac:dyDescent="0.25"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10"/>
      <c r="P60" s="10"/>
      <c r="Q60" s="10"/>
      <c r="R60" s="10"/>
      <c r="S60" s="6"/>
      <c r="U60" t="s">
        <v>10</v>
      </c>
    </row>
    <row r="61" spans="2:21" x14ac:dyDescent="0.25"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10"/>
      <c r="P61" s="10"/>
      <c r="Q61" s="10"/>
      <c r="R61" s="10"/>
      <c r="S61" s="6"/>
    </row>
    <row r="62" spans="2:21" x14ac:dyDescent="0.25"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10"/>
      <c r="P62" s="10"/>
      <c r="Q62" s="10"/>
      <c r="R62" s="10"/>
      <c r="S62" s="6"/>
    </row>
    <row r="63" spans="2:21" x14ac:dyDescent="0.25"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10"/>
      <c r="P63" s="10"/>
      <c r="Q63" s="10"/>
      <c r="R63" s="10"/>
      <c r="S63" s="6"/>
    </row>
    <row r="64" spans="2:21" x14ac:dyDescent="0.25"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10"/>
      <c r="P64" s="10"/>
      <c r="Q64" s="10"/>
      <c r="R64" s="10"/>
      <c r="S64" s="6"/>
    </row>
    <row r="65" spans="2:19" x14ac:dyDescent="0.25"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10"/>
      <c r="P65" s="10"/>
      <c r="Q65" s="10"/>
      <c r="R65" s="10"/>
      <c r="S65" s="6"/>
    </row>
    <row r="66" spans="2:19" x14ac:dyDescent="0.25"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10"/>
      <c r="P66" s="10"/>
      <c r="Q66" s="10"/>
      <c r="R66" s="10"/>
      <c r="S66" s="6"/>
    </row>
    <row r="67" spans="2:19" x14ac:dyDescent="0.25"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10"/>
      <c r="P67" s="10"/>
      <c r="Q67" s="10"/>
      <c r="R67" s="10"/>
      <c r="S67" s="6"/>
    </row>
    <row r="68" spans="2:19" x14ac:dyDescent="0.25"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10"/>
      <c r="P68" s="10"/>
      <c r="Q68" s="10"/>
      <c r="R68" s="10"/>
      <c r="S68" s="6"/>
    </row>
    <row r="69" spans="2:19" x14ac:dyDescent="0.25"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10"/>
      <c r="P69" s="10"/>
      <c r="Q69" s="10"/>
      <c r="R69" s="10"/>
      <c r="S69" s="6"/>
    </row>
    <row r="70" spans="2:19" x14ac:dyDescent="0.25"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10"/>
      <c r="P70" s="10"/>
      <c r="Q70" s="10"/>
      <c r="R70" s="10"/>
      <c r="S70" s="6"/>
    </row>
    <row r="71" spans="2:19" x14ac:dyDescent="0.25"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10"/>
      <c r="P71" s="10"/>
      <c r="Q71" s="10"/>
      <c r="R71" s="10"/>
      <c r="S71" s="6"/>
    </row>
    <row r="72" spans="2:19" x14ac:dyDescent="0.25"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10"/>
      <c r="P72" s="10"/>
      <c r="Q72" s="10"/>
      <c r="R72" s="10"/>
      <c r="S72" s="6"/>
    </row>
    <row r="73" spans="2:19" x14ac:dyDescent="0.25"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10"/>
      <c r="P73" s="10"/>
      <c r="Q73" s="10"/>
      <c r="R73" s="10"/>
      <c r="S73" s="6"/>
    </row>
    <row r="74" spans="2:19" x14ac:dyDescent="0.25"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10"/>
      <c r="P74" s="10"/>
      <c r="Q74" s="10"/>
      <c r="R74" s="10"/>
      <c r="S74" s="6"/>
    </row>
    <row r="75" spans="2:19" x14ac:dyDescent="0.25"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10"/>
      <c r="P75" s="10"/>
      <c r="Q75" s="10"/>
      <c r="R75" s="10"/>
      <c r="S75" s="6"/>
    </row>
    <row r="76" spans="2:19" x14ac:dyDescent="0.25"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10"/>
      <c r="P76" s="10"/>
      <c r="Q76" s="10"/>
      <c r="R76" s="10"/>
      <c r="S76" s="6"/>
    </row>
    <row r="77" spans="2:19" x14ac:dyDescent="0.25"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10"/>
      <c r="P77" s="10"/>
      <c r="Q77" s="10"/>
      <c r="R77" s="10"/>
      <c r="S77" s="6"/>
    </row>
    <row r="78" spans="2:19" x14ac:dyDescent="0.25"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10"/>
      <c r="P78" s="10"/>
      <c r="Q78" s="10"/>
      <c r="R78" s="10"/>
      <c r="S78" s="6"/>
    </row>
    <row r="79" spans="2:19" x14ac:dyDescent="0.25"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10"/>
      <c r="P79" s="10"/>
      <c r="Q79" s="10"/>
      <c r="R79" s="10"/>
      <c r="S79" s="6"/>
    </row>
    <row r="80" spans="2:19" x14ac:dyDescent="0.25"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10"/>
      <c r="P80" s="10"/>
      <c r="Q80" s="10"/>
      <c r="R80" s="10"/>
      <c r="S80" s="6"/>
    </row>
    <row r="81" spans="2:19" x14ac:dyDescent="0.25"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10"/>
      <c r="P81" s="10"/>
      <c r="Q81" s="10"/>
      <c r="R81" s="10"/>
      <c r="S81" s="6"/>
    </row>
    <row r="82" spans="2:19" x14ac:dyDescent="0.25"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10"/>
      <c r="P82" s="10"/>
      <c r="Q82" s="10"/>
      <c r="R82" s="10"/>
      <c r="S82" s="6"/>
    </row>
    <row r="83" spans="2:19" x14ac:dyDescent="0.25"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10"/>
      <c r="P83" s="10"/>
      <c r="Q83" s="10"/>
      <c r="R83" s="10"/>
      <c r="S83" s="6"/>
    </row>
    <row r="84" spans="2:19" x14ac:dyDescent="0.25"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10"/>
      <c r="P84" s="10"/>
      <c r="Q84" s="10"/>
      <c r="R84" s="10"/>
      <c r="S84" s="6"/>
    </row>
    <row r="85" spans="2:19" x14ac:dyDescent="0.25"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10"/>
      <c r="P85" s="10"/>
      <c r="Q85" s="10"/>
      <c r="R85" s="10"/>
      <c r="S85" s="6"/>
    </row>
    <row r="86" spans="2:19" x14ac:dyDescent="0.25"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10"/>
      <c r="P86" s="10"/>
      <c r="Q86" s="10"/>
      <c r="R86" s="10"/>
      <c r="S86" s="6"/>
    </row>
    <row r="87" spans="2:19" x14ac:dyDescent="0.25"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10"/>
      <c r="P87" s="10"/>
      <c r="Q87" s="10"/>
      <c r="R87" s="10"/>
      <c r="S87" s="6"/>
    </row>
    <row r="88" spans="2:19" x14ac:dyDescent="0.25"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10"/>
      <c r="P88" s="10"/>
      <c r="Q88" s="10"/>
      <c r="R88" s="10"/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9C3E-6163-42E5-A290-7E1886EA4CCD}">
  <dimension ref="A1:U88"/>
  <sheetViews>
    <sheetView topLeftCell="K1" workbookViewId="0">
      <selection sqref="A1:M1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7"/>
      <c r="O1" s="7"/>
      <c r="P1" s="7"/>
      <c r="Q1" s="7"/>
      <c r="R1" s="7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5"/>
      <c r="O2" s="5"/>
      <c r="P2" s="5"/>
      <c r="Q2" s="5"/>
      <c r="R2" s="5"/>
      <c r="S2" s="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"/>
      <c r="O3" s="5"/>
      <c r="P3" s="5"/>
      <c r="Q3" s="5"/>
      <c r="R3" s="5"/>
      <c r="S3" s="5"/>
    </row>
    <row r="4" spans="1:19" x14ac:dyDescent="0.25">
      <c r="A4" s="19" t="s">
        <v>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/>
      <c r="O4" s="5"/>
      <c r="P4" s="5"/>
      <c r="Q4" s="5"/>
      <c r="R4" s="5"/>
      <c r="S4" s="5"/>
    </row>
    <row r="5" spans="1:19" x14ac:dyDescent="0.25">
      <c r="A5" s="5" t="s">
        <v>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 s="1">
        <v>13230</v>
      </c>
      <c r="D9" s="1">
        <v>13340</v>
      </c>
      <c r="E9" s="1">
        <v>13360</v>
      </c>
      <c r="F9" s="6">
        <f>B9*2/C9*1000</f>
        <v>15117157.974300832</v>
      </c>
      <c r="G9" s="6">
        <f>B9*2/D9*1000</f>
        <v>14992503.748125937</v>
      </c>
      <c r="H9" s="6">
        <f>B9*2/E9*1000</f>
        <v>14970059.880239522</v>
      </c>
      <c r="I9" s="6">
        <f>F9/A9</f>
        <v>15117157.974300832</v>
      </c>
      <c r="J9" s="6">
        <f>G9/A9</f>
        <v>14992503.748125937</v>
      </c>
      <c r="K9" s="6">
        <f>H9/A9</f>
        <v>14970059.880239522</v>
      </c>
      <c r="L9" s="6">
        <f>(F9+G9+H9)/3</f>
        <v>15026573.86755543</v>
      </c>
      <c r="M9" s="6">
        <f>L9/A9</f>
        <v>15026573.86755543</v>
      </c>
      <c r="N9" s="6"/>
      <c r="O9" s="10">
        <f>(F9+G9+H9)/3/1000000</f>
        <v>15.026573867555431</v>
      </c>
      <c r="P9" s="10">
        <f>(I9+J9+K9)/3/1000000</f>
        <v>15.026573867555431</v>
      </c>
      <c r="Q9" s="10">
        <f>L9/1000000</f>
        <v>15.026573867555431</v>
      </c>
      <c r="R9" s="10">
        <f>M9/1000000</f>
        <v>15.026573867555431</v>
      </c>
      <c r="S9" s="6"/>
    </row>
    <row r="10" spans="1:19" x14ac:dyDescent="0.25">
      <c r="A10">
        <v>2</v>
      </c>
      <c r="B10" s="1">
        <f>$B$9*A10</f>
        <v>200000000</v>
      </c>
      <c r="C10" s="1">
        <v>13330</v>
      </c>
      <c r="D10" s="1">
        <v>12890</v>
      </c>
      <c r="E10" s="1">
        <v>12200</v>
      </c>
      <c r="F10" s="6">
        <f t="shared" ref="F10:F28" si="0">B10*2/C10*1000</f>
        <v>30007501.875468869</v>
      </c>
      <c r="G10" s="6">
        <f t="shared" ref="G10:G28" si="1">B10*2/D10*1000</f>
        <v>31031807.602792863</v>
      </c>
      <c r="H10" s="6">
        <f t="shared" ref="H10:H28" si="2">B10*2/E10*1000</f>
        <v>32786885.245901641</v>
      </c>
      <c r="I10" s="6">
        <f t="shared" ref="I10:I28" si="3">F10/A10</f>
        <v>15003750.937734434</v>
      </c>
      <c r="J10" s="6">
        <f t="shared" ref="J10:J28" si="4">G10/A10</f>
        <v>15515903.801396431</v>
      </c>
      <c r="K10" s="6">
        <f t="shared" ref="K10:K28" si="5">H10/A10</f>
        <v>16393442.62295082</v>
      </c>
      <c r="L10" s="6">
        <f t="shared" ref="L10:L12" si="6">$L$9*A10</f>
        <v>30053147.73511086</v>
      </c>
      <c r="M10" s="6">
        <f t="shared" ref="M10:M28" si="7">L10/A10</f>
        <v>15026573.86755543</v>
      </c>
      <c r="N10" s="6"/>
      <c r="O10" s="10">
        <f t="shared" ref="O10:O28" si="8">(F10+G10+H10)/3/1000000</f>
        <v>31.275398241387787</v>
      </c>
      <c r="P10" s="10">
        <f t="shared" ref="P10:P28" si="9">(I10+J10+K10)/3/1000000</f>
        <v>15.637699120693894</v>
      </c>
      <c r="Q10" s="10">
        <f t="shared" ref="Q10:R28" si="10">L10/1000000</f>
        <v>30.053147735110862</v>
      </c>
      <c r="R10" s="10">
        <f t="shared" si="10"/>
        <v>15.026573867555431</v>
      </c>
      <c r="S10" s="6"/>
    </row>
    <row r="11" spans="1:19" x14ac:dyDescent="0.25">
      <c r="A11">
        <v>3</v>
      </c>
      <c r="B11" s="1">
        <f t="shared" ref="B11:B28" si="11">$B$9*A11</f>
        <v>300000000</v>
      </c>
      <c r="C11" s="1">
        <v>13340</v>
      </c>
      <c r="D11" s="1">
        <v>13190</v>
      </c>
      <c r="E11" s="1">
        <v>12960</v>
      </c>
      <c r="F11" s="6">
        <f t="shared" si="0"/>
        <v>44977511.244377814</v>
      </c>
      <c r="G11" s="6">
        <f t="shared" si="1"/>
        <v>45489006.823351026</v>
      </c>
      <c r="H11" s="6">
        <f t="shared" si="2"/>
        <v>46296296.296296299</v>
      </c>
      <c r="I11" s="6">
        <f t="shared" si="3"/>
        <v>14992503.748125939</v>
      </c>
      <c r="J11" s="6">
        <f t="shared" si="4"/>
        <v>15163002.274450341</v>
      </c>
      <c r="K11" s="6">
        <f t="shared" si="5"/>
        <v>15432098.765432099</v>
      </c>
      <c r="L11" s="6">
        <f t="shared" si="6"/>
        <v>45079721.602666289</v>
      </c>
      <c r="M11" s="6">
        <f t="shared" si="7"/>
        <v>15026573.86755543</v>
      </c>
      <c r="N11" s="6"/>
      <c r="O11" s="10">
        <f t="shared" si="8"/>
        <v>45.587604788008385</v>
      </c>
      <c r="P11" s="10">
        <f t="shared" si="9"/>
        <v>15.195868262669459</v>
      </c>
      <c r="Q11" s="10">
        <f t="shared" si="10"/>
        <v>45.079721602666289</v>
      </c>
      <c r="R11" s="10">
        <f t="shared" si="10"/>
        <v>15.026573867555431</v>
      </c>
      <c r="S11" s="6"/>
    </row>
    <row r="12" spans="1:19" x14ac:dyDescent="0.25">
      <c r="A12">
        <v>4</v>
      </c>
      <c r="B12" s="1">
        <f t="shared" si="11"/>
        <v>400000000</v>
      </c>
      <c r="C12" s="1">
        <v>12420</v>
      </c>
      <c r="D12" s="1">
        <v>12190</v>
      </c>
      <c r="E12" s="1">
        <v>11380</v>
      </c>
      <c r="F12" s="6">
        <f t="shared" si="0"/>
        <v>64412238.325281806</v>
      </c>
      <c r="G12" s="6">
        <f t="shared" si="1"/>
        <v>65627563.576702215</v>
      </c>
      <c r="H12" s="6">
        <f t="shared" si="2"/>
        <v>70298769.771529004</v>
      </c>
      <c r="I12" s="6">
        <f t="shared" si="3"/>
        <v>16103059.581320452</v>
      </c>
      <c r="J12" s="6">
        <f t="shared" si="4"/>
        <v>16406890.894175554</v>
      </c>
      <c r="K12" s="6">
        <f t="shared" si="5"/>
        <v>17574692.442882251</v>
      </c>
      <c r="L12" s="6">
        <f t="shared" si="6"/>
        <v>60106295.470221721</v>
      </c>
      <c r="M12" s="6">
        <f t="shared" si="7"/>
        <v>15026573.86755543</v>
      </c>
      <c r="N12" s="6"/>
      <c r="O12" s="10">
        <f t="shared" si="8"/>
        <v>66.77952389117101</v>
      </c>
      <c r="P12" s="10">
        <f t="shared" si="9"/>
        <v>16.694880972792753</v>
      </c>
      <c r="Q12" s="10">
        <f t="shared" si="10"/>
        <v>60.106295470221724</v>
      </c>
      <c r="R12" s="10">
        <f t="shared" si="10"/>
        <v>15.026573867555431</v>
      </c>
      <c r="S12" s="6"/>
    </row>
    <row r="13" spans="1:19" x14ac:dyDescent="0.25">
      <c r="A13">
        <v>5</v>
      </c>
      <c r="B13" s="1">
        <f t="shared" si="11"/>
        <v>500000000</v>
      </c>
      <c r="C13" s="1">
        <v>13990</v>
      </c>
      <c r="D13" s="1">
        <v>14270</v>
      </c>
      <c r="E13" s="1">
        <v>14310</v>
      </c>
      <c r="F13" s="6">
        <f t="shared" si="0"/>
        <v>71479628.30593282</v>
      </c>
      <c r="G13" s="6">
        <f t="shared" si="1"/>
        <v>70077084.7932726</v>
      </c>
      <c r="H13" s="6">
        <f t="shared" si="2"/>
        <v>69881201.956673652</v>
      </c>
      <c r="I13" s="6">
        <f t="shared" si="3"/>
        <v>14295925.661186565</v>
      </c>
      <c r="J13" s="6">
        <f t="shared" si="4"/>
        <v>14015416.958654519</v>
      </c>
      <c r="K13" s="6">
        <f t="shared" si="5"/>
        <v>13976240.391334731</v>
      </c>
      <c r="L13" s="6">
        <f>$L$9*(4+(A13-4)*60%)</f>
        <v>69122239.790754974</v>
      </c>
      <c r="M13" s="6">
        <f t="shared" si="7"/>
        <v>13824447.958150994</v>
      </c>
      <c r="N13" s="6"/>
      <c r="O13" s="10">
        <f t="shared" si="8"/>
        <v>70.479305018626363</v>
      </c>
      <c r="P13" s="10">
        <f t="shared" si="9"/>
        <v>14.09586100372527</v>
      </c>
      <c r="Q13" s="10">
        <f t="shared" si="10"/>
        <v>69.122239790754975</v>
      </c>
      <c r="R13" s="10">
        <f t="shared" si="10"/>
        <v>13.824447958150994</v>
      </c>
      <c r="S13" s="6"/>
    </row>
    <row r="14" spans="1:19" x14ac:dyDescent="0.25">
      <c r="A14">
        <v>6</v>
      </c>
      <c r="B14" s="1">
        <f t="shared" si="11"/>
        <v>600000000</v>
      </c>
      <c r="C14" s="1">
        <v>15120</v>
      </c>
      <c r="D14" s="1">
        <v>13470</v>
      </c>
      <c r="E14" s="1">
        <v>14970</v>
      </c>
      <c r="F14" s="6">
        <f t="shared" si="0"/>
        <v>79365079.365079358</v>
      </c>
      <c r="G14" s="6">
        <f t="shared" si="1"/>
        <v>89086859.688196003</v>
      </c>
      <c r="H14" s="6">
        <f t="shared" si="2"/>
        <v>80160320.641282573</v>
      </c>
      <c r="I14" s="6">
        <f t="shared" si="3"/>
        <v>13227513.227513226</v>
      </c>
      <c r="J14" s="6">
        <f t="shared" si="4"/>
        <v>14847809.948032668</v>
      </c>
      <c r="K14" s="6">
        <f t="shared" si="5"/>
        <v>13360053.440213762</v>
      </c>
      <c r="L14" s="6">
        <f t="shared" ref="L14:L20" si="12">$L$9*(4+(A14-4)*60%)</f>
        <v>78138184.111288235</v>
      </c>
      <c r="M14" s="6">
        <f t="shared" si="7"/>
        <v>13023030.685214706</v>
      </c>
      <c r="N14" s="6"/>
      <c r="O14" s="10">
        <f t="shared" si="8"/>
        <v>82.870753231519302</v>
      </c>
      <c r="P14" s="10">
        <f t="shared" si="9"/>
        <v>13.811792205253219</v>
      </c>
      <c r="Q14" s="10">
        <f t="shared" si="10"/>
        <v>78.13818411128824</v>
      </c>
      <c r="R14" s="10">
        <f t="shared" si="10"/>
        <v>13.023030685214707</v>
      </c>
      <c r="S14" s="6"/>
    </row>
    <row r="15" spans="1:19" x14ac:dyDescent="0.25">
      <c r="A15">
        <v>7</v>
      </c>
      <c r="B15" s="1">
        <f t="shared" si="11"/>
        <v>700000000</v>
      </c>
      <c r="C15" s="1">
        <v>15730</v>
      </c>
      <c r="D15" s="1">
        <v>15600</v>
      </c>
      <c r="E15" s="1">
        <v>15970</v>
      </c>
      <c r="F15" s="6">
        <f t="shared" si="0"/>
        <v>89001907.183725372</v>
      </c>
      <c r="G15" s="6">
        <f t="shared" si="1"/>
        <v>89743589.743589744</v>
      </c>
      <c r="H15" s="6">
        <f t="shared" si="2"/>
        <v>87664370.69505322</v>
      </c>
      <c r="I15" s="6">
        <f t="shared" si="3"/>
        <v>12714558.169103624</v>
      </c>
      <c r="J15" s="6">
        <f t="shared" si="4"/>
        <v>12820512.82051282</v>
      </c>
      <c r="K15" s="6">
        <f t="shared" si="5"/>
        <v>12523481.527864745</v>
      </c>
      <c r="L15" s="6">
        <f t="shared" si="12"/>
        <v>87154128.431821495</v>
      </c>
      <c r="M15" s="6">
        <f t="shared" si="7"/>
        <v>12450589.775974499</v>
      </c>
      <c r="N15" s="6"/>
      <c r="O15" s="10">
        <f t="shared" si="8"/>
        <v>88.803289207456118</v>
      </c>
      <c r="P15" s="10">
        <f t="shared" si="9"/>
        <v>12.686184172493732</v>
      </c>
      <c r="Q15" s="10">
        <f t="shared" si="10"/>
        <v>87.154128431821491</v>
      </c>
      <c r="R15" s="10">
        <f t="shared" si="10"/>
        <v>12.4505897759745</v>
      </c>
      <c r="S15" s="6"/>
    </row>
    <row r="16" spans="1:19" x14ac:dyDescent="0.25">
      <c r="A16">
        <v>8</v>
      </c>
      <c r="B16" s="1">
        <f t="shared" si="11"/>
        <v>800000000</v>
      </c>
      <c r="C16" s="1">
        <v>16250</v>
      </c>
      <c r="D16" s="1">
        <v>15860</v>
      </c>
      <c r="E16" s="1">
        <v>15500</v>
      </c>
      <c r="F16" s="6">
        <f t="shared" si="0"/>
        <v>98461538.461538464</v>
      </c>
      <c r="G16" s="6">
        <f t="shared" si="1"/>
        <v>100882723.83354351</v>
      </c>
      <c r="H16" s="6">
        <f t="shared" si="2"/>
        <v>103225806.4516129</v>
      </c>
      <c r="I16" s="6">
        <f t="shared" si="3"/>
        <v>12307692.307692308</v>
      </c>
      <c r="J16" s="6">
        <f t="shared" si="4"/>
        <v>12610340.479192939</v>
      </c>
      <c r="K16" s="6">
        <f t="shared" si="5"/>
        <v>12903225.806451613</v>
      </c>
      <c r="L16" s="6">
        <f t="shared" si="12"/>
        <v>96170072.752354756</v>
      </c>
      <c r="M16" s="6">
        <f t="shared" si="7"/>
        <v>12021259.094044344</v>
      </c>
      <c r="N16" s="6"/>
      <c r="O16" s="10">
        <f t="shared" si="8"/>
        <v>100.85668958223162</v>
      </c>
      <c r="P16" s="10">
        <f t="shared" si="9"/>
        <v>12.607086197778953</v>
      </c>
      <c r="Q16" s="10">
        <f t="shared" si="10"/>
        <v>96.170072752354756</v>
      </c>
      <c r="R16" s="10">
        <f t="shared" si="10"/>
        <v>12.021259094044344</v>
      </c>
      <c r="S16" s="6"/>
    </row>
    <row r="17" spans="1:19" x14ac:dyDescent="0.25">
      <c r="A17">
        <v>9</v>
      </c>
      <c r="B17" s="1">
        <f t="shared" si="11"/>
        <v>900000000</v>
      </c>
      <c r="C17" s="1">
        <v>16780</v>
      </c>
      <c r="D17" s="1">
        <v>16330</v>
      </c>
      <c r="E17" s="1">
        <v>16580</v>
      </c>
      <c r="F17" s="6">
        <f t="shared" si="0"/>
        <v>107270560.19070323</v>
      </c>
      <c r="G17" s="6">
        <f t="shared" si="1"/>
        <v>110226576.85241885</v>
      </c>
      <c r="H17" s="6">
        <f t="shared" si="2"/>
        <v>108564535.58504222</v>
      </c>
      <c r="I17" s="6">
        <f t="shared" si="3"/>
        <v>11918951.132300358</v>
      </c>
      <c r="J17" s="6">
        <f t="shared" si="4"/>
        <v>12247397.428046539</v>
      </c>
      <c r="K17" s="6">
        <f t="shared" si="5"/>
        <v>12062726.176115803</v>
      </c>
      <c r="L17" s="6">
        <f t="shared" si="12"/>
        <v>105186017.07288802</v>
      </c>
      <c r="M17" s="6">
        <f t="shared" si="7"/>
        <v>11687335.230320891</v>
      </c>
      <c r="N17" s="6"/>
      <c r="O17" s="10">
        <f t="shared" si="8"/>
        <v>108.68722420938809</v>
      </c>
      <c r="P17" s="10">
        <f t="shared" si="9"/>
        <v>12.076358245487565</v>
      </c>
      <c r="Q17" s="10">
        <f t="shared" si="10"/>
        <v>105.18601707288802</v>
      </c>
      <c r="R17" s="10">
        <f t="shared" si="10"/>
        <v>11.687335230320892</v>
      </c>
      <c r="S17" s="6"/>
    </row>
    <row r="18" spans="1:19" x14ac:dyDescent="0.25">
      <c r="A18">
        <v>10</v>
      </c>
      <c r="B18" s="1">
        <f t="shared" si="11"/>
        <v>1000000000</v>
      </c>
      <c r="C18" s="1">
        <v>17070</v>
      </c>
      <c r="D18" s="1">
        <v>16570</v>
      </c>
      <c r="E18" s="1">
        <v>16890</v>
      </c>
      <c r="F18" s="6">
        <f t="shared" si="0"/>
        <v>117164616.28588167</v>
      </c>
      <c r="G18" s="6">
        <f t="shared" si="1"/>
        <v>120700060.35003018</v>
      </c>
      <c r="H18" s="6">
        <f t="shared" si="2"/>
        <v>118413262.28537597</v>
      </c>
      <c r="I18" s="6">
        <f t="shared" si="3"/>
        <v>11716461.628588166</v>
      </c>
      <c r="J18" s="6">
        <f t="shared" si="4"/>
        <v>12070006.035003018</v>
      </c>
      <c r="K18" s="6">
        <f t="shared" si="5"/>
        <v>11841326.228537597</v>
      </c>
      <c r="L18" s="6">
        <f t="shared" si="12"/>
        <v>114201961.39342126</v>
      </c>
      <c r="M18" s="6">
        <f t="shared" si="7"/>
        <v>11420196.139342126</v>
      </c>
      <c r="N18" s="6"/>
      <c r="O18" s="10">
        <f t="shared" si="8"/>
        <v>118.75931297376262</v>
      </c>
      <c r="P18" s="10">
        <f t="shared" si="9"/>
        <v>11.87593129737626</v>
      </c>
      <c r="Q18" s="10">
        <f t="shared" si="10"/>
        <v>114.20196139342126</v>
      </c>
      <c r="R18" s="10">
        <f t="shared" si="10"/>
        <v>11.420196139342126</v>
      </c>
      <c r="S18" s="6"/>
    </row>
    <row r="19" spans="1:19" x14ac:dyDescent="0.25">
      <c r="A19">
        <v>11</v>
      </c>
      <c r="B19" s="1">
        <f t="shared" si="11"/>
        <v>1100000000</v>
      </c>
      <c r="C19" s="1">
        <v>16630</v>
      </c>
      <c r="D19" s="1">
        <v>16620</v>
      </c>
      <c r="E19" s="1">
        <v>17200</v>
      </c>
      <c r="F19" s="6">
        <f t="shared" si="0"/>
        <v>132291040.288635</v>
      </c>
      <c r="G19" s="6">
        <f t="shared" si="1"/>
        <v>132370637.78580023</v>
      </c>
      <c r="H19" s="6">
        <f t="shared" si="2"/>
        <v>127906976.74418604</v>
      </c>
      <c r="I19" s="6">
        <f t="shared" si="3"/>
        <v>12026458.208057728</v>
      </c>
      <c r="J19" s="6">
        <f t="shared" si="4"/>
        <v>12033694.344163658</v>
      </c>
      <c r="K19" s="6">
        <f t="shared" si="5"/>
        <v>11627906.976744186</v>
      </c>
      <c r="L19" s="6">
        <f t="shared" si="12"/>
        <v>123217905.71395452</v>
      </c>
      <c r="M19" s="6">
        <f t="shared" si="7"/>
        <v>11201627.792177685</v>
      </c>
      <c r="N19" s="6"/>
      <c r="O19" s="10">
        <f t="shared" si="8"/>
        <v>130.85621827287375</v>
      </c>
      <c r="P19" s="10">
        <f t="shared" si="9"/>
        <v>11.896019842988526</v>
      </c>
      <c r="Q19" s="10">
        <f t="shared" si="10"/>
        <v>123.21790571395452</v>
      </c>
      <c r="R19" s="10">
        <f t="shared" si="10"/>
        <v>11.201627792177685</v>
      </c>
      <c r="S19" s="6"/>
    </row>
    <row r="20" spans="1:19" x14ac:dyDescent="0.25">
      <c r="A20">
        <v>12</v>
      </c>
      <c r="B20" s="1">
        <f t="shared" si="11"/>
        <v>1200000000</v>
      </c>
      <c r="C20" s="1">
        <v>17800</v>
      </c>
      <c r="D20" s="1">
        <v>17330</v>
      </c>
      <c r="E20" s="1">
        <v>17540</v>
      </c>
      <c r="F20" s="6">
        <f t="shared" si="0"/>
        <v>134831460.67415732</v>
      </c>
      <c r="G20" s="6">
        <f t="shared" si="1"/>
        <v>138488170.80207732</v>
      </c>
      <c r="H20" s="6">
        <f t="shared" si="2"/>
        <v>136830102.62257695</v>
      </c>
      <c r="I20" s="6">
        <f t="shared" si="3"/>
        <v>11235955.056179777</v>
      </c>
      <c r="J20" s="6">
        <f t="shared" si="4"/>
        <v>11540680.900173111</v>
      </c>
      <c r="K20" s="6">
        <f t="shared" si="5"/>
        <v>11402508.551881412</v>
      </c>
      <c r="L20" s="6">
        <f t="shared" si="12"/>
        <v>132233850.0344878</v>
      </c>
      <c r="M20" s="6">
        <f t="shared" si="7"/>
        <v>11019487.502873983</v>
      </c>
      <c r="N20" s="6"/>
      <c r="O20" s="10">
        <f t="shared" si="8"/>
        <v>136.71657803293721</v>
      </c>
      <c r="P20" s="10">
        <f t="shared" si="9"/>
        <v>11.393048169411435</v>
      </c>
      <c r="Q20" s="10">
        <f t="shared" si="10"/>
        <v>132.2338500344878</v>
      </c>
      <c r="R20" s="10">
        <f t="shared" si="10"/>
        <v>11.019487502873984</v>
      </c>
      <c r="S20" s="6"/>
    </row>
    <row r="21" spans="1:19" x14ac:dyDescent="0.25">
      <c r="A21">
        <v>13</v>
      </c>
      <c r="B21" s="1">
        <f t="shared" si="11"/>
        <v>1300000000</v>
      </c>
      <c r="C21" s="1">
        <v>18730</v>
      </c>
      <c r="D21" s="1">
        <v>18680</v>
      </c>
      <c r="E21" s="1">
        <v>18300</v>
      </c>
      <c r="F21" s="6">
        <f t="shared" si="0"/>
        <v>138814735.71809933</v>
      </c>
      <c r="G21" s="6">
        <f t="shared" si="1"/>
        <v>139186295.503212</v>
      </c>
      <c r="H21" s="6">
        <f t="shared" si="2"/>
        <v>142076502.73224044</v>
      </c>
      <c r="I21" s="6">
        <f t="shared" si="3"/>
        <v>10678056.593699949</v>
      </c>
      <c r="J21" s="6">
        <f t="shared" si="4"/>
        <v>10706638.115631692</v>
      </c>
      <c r="K21" s="6">
        <f t="shared" si="5"/>
        <v>10928961.74863388</v>
      </c>
      <c r="L21" s="6">
        <f>$L$9*(4+8*60%+(A21-12)*30%)</f>
        <v>136741822.19475442</v>
      </c>
      <c r="M21" s="6">
        <f t="shared" si="7"/>
        <v>10518601.707288802</v>
      </c>
      <c r="N21" s="6"/>
      <c r="O21" s="10">
        <f t="shared" si="8"/>
        <v>140.02584465118395</v>
      </c>
      <c r="P21" s="10">
        <f t="shared" si="9"/>
        <v>10.77121881932184</v>
      </c>
      <c r="Q21" s="10">
        <f t="shared" si="10"/>
        <v>136.74182219475443</v>
      </c>
      <c r="R21" s="10">
        <f t="shared" si="10"/>
        <v>10.518601707288802</v>
      </c>
      <c r="S21" s="6"/>
    </row>
    <row r="22" spans="1:19" x14ac:dyDescent="0.25">
      <c r="A22">
        <v>14</v>
      </c>
      <c r="B22" s="1">
        <f t="shared" si="11"/>
        <v>1400000000</v>
      </c>
      <c r="C22" s="1">
        <v>19080</v>
      </c>
      <c r="D22" s="1">
        <v>19810</v>
      </c>
      <c r="E22" s="1">
        <v>19220</v>
      </c>
      <c r="F22" s="6">
        <f t="shared" si="0"/>
        <v>146750524.10901469</v>
      </c>
      <c r="G22" s="6">
        <f t="shared" si="1"/>
        <v>141342756.18374556</v>
      </c>
      <c r="H22" s="6">
        <f t="shared" si="2"/>
        <v>145681581.68574402</v>
      </c>
      <c r="I22" s="6">
        <f t="shared" si="3"/>
        <v>10482180.293501049</v>
      </c>
      <c r="J22" s="6">
        <f t="shared" si="4"/>
        <v>10095911.155981826</v>
      </c>
      <c r="K22" s="6">
        <f t="shared" si="5"/>
        <v>10405827.26326743</v>
      </c>
      <c r="L22" s="6">
        <f>$L$9*(4+8*60%+(A22-12)*30%)</f>
        <v>141249794.35502106</v>
      </c>
      <c r="M22" s="6">
        <f t="shared" si="7"/>
        <v>10089271.025358647</v>
      </c>
      <c r="N22" s="6"/>
      <c r="O22" s="10">
        <f t="shared" si="8"/>
        <v>144.59162065950144</v>
      </c>
      <c r="P22" s="10">
        <f t="shared" si="9"/>
        <v>10.3279729042501</v>
      </c>
      <c r="Q22" s="10">
        <f t="shared" si="10"/>
        <v>141.24979435502107</v>
      </c>
      <c r="R22" s="10">
        <f t="shared" si="10"/>
        <v>10.089271025358647</v>
      </c>
      <c r="S22" s="6"/>
    </row>
    <row r="23" spans="1:19" x14ac:dyDescent="0.25">
      <c r="A23">
        <v>15</v>
      </c>
      <c r="B23" s="1">
        <f t="shared" si="11"/>
        <v>1500000000</v>
      </c>
      <c r="C23" s="1">
        <v>20720</v>
      </c>
      <c r="D23" s="1">
        <v>20420</v>
      </c>
      <c r="E23" s="1">
        <v>20540</v>
      </c>
      <c r="F23" s="6">
        <f t="shared" si="0"/>
        <v>144787644.7876448</v>
      </c>
      <c r="G23" s="6">
        <f t="shared" si="1"/>
        <v>146914789.42213517</v>
      </c>
      <c r="H23" s="6">
        <f t="shared" si="2"/>
        <v>146056475.17039922</v>
      </c>
      <c r="I23" s="6">
        <f t="shared" si="3"/>
        <v>9652509.6525096539</v>
      </c>
      <c r="J23" s="6">
        <f t="shared" si="4"/>
        <v>9794319.2948090117</v>
      </c>
      <c r="K23" s="6">
        <f t="shared" si="5"/>
        <v>9737098.3446932808</v>
      </c>
      <c r="L23" s="6">
        <f>$L$22</f>
        <v>141249794.35502106</v>
      </c>
      <c r="M23" s="6">
        <f t="shared" si="7"/>
        <v>9416652.9570014048</v>
      </c>
      <c r="N23" s="6"/>
      <c r="O23" s="10">
        <f t="shared" si="8"/>
        <v>145.91963646005973</v>
      </c>
      <c r="P23" s="10">
        <f t="shared" si="9"/>
        <v>9.7279757640039826</v>
      </c>
      <c r="Q23" s="10">
        <f t="shared" si="10"/>
        <v>141.24979435502107</v>
      </c>
      <c r="R23" s="10">
        <f t="shared" si="10"/>
        <v>9.4166529570014053</v>
      </c>
      <c r="S23" s="6"/>
    </row>
    <row r="24" spans="1:19" x14ac:dyDescent="0.25">
      <c r="A24">
        <v>16</v>
      </c>
      <c r="B24" s="1">
        <f t="shared" si="11"/>
        <v>1600000000</v>
      </c>
      <c r="C24" s="1">
        <v>21840</v>
      </c>
      <c r="D24" s="1">
        <v>21760</v>
      </c>
      <c r="E24" s="1">
        <v>21640</v>
      </c>
      <c r="F24" s="6">
        <f t="shared" si="0"/>
        <v>146520146.52014652</v>
      </c>
      <c r="G24" s="6">
        <f t="shared" si="1"/>
        <v>147058823.52941176</v>
      </c>
      <c r="H24" s="6">
        <f t="shared" si="2"/>
        <v>147874306.8391867</v>
      </c>
      <c r="I24" s="6">
        <f t="shared" si="3"/>
        <v>9157509.1575091574</v>
      </c>
      <c r="J24" s="6">
        <f t="shared" si="4"/>
        <v>9191176.4705882352</v>
      </c>
      <c r="K24" s="6">
        <f t="shared" si="5"/>
        <v>9242144.1774491686</v>
      </c>
      <c r="L24" s="6">
        <f t="shared" ref="L24:L28" si="13">$L$22</f>
        <v>141249794.35502106</v>
      </c>
      <c r="M24" s="6">
        <f t="shared" si="7"/>
        <v>8828112.1471888162</v>
      </c>
      <c r="N24" s="6"/>
      <c r="O24" s="10">
        <f t="shared" si="8"/>
        <v>147.15109229624832</v>
      </c>
      <c r="P24" s="10">
        <f t="shared" si="9"/>
        <v>9.1969432685155201</v>
      </c>
      <c r="Q24" s="10">
        <f t="shared" si="10"/>
        <v>141.24979435502107</v>
      </c>
      <c r="R24" s="10">
        <f t="shared" si="10"/>
        <v>8.8281121471888166</v>
      </c>
      <c r="S24" s="6"/>
    </row>
    <row r="25" spans="1:19" x14ac:dyDescent="0.25">
      <c r="A25">
        <v>17</v>
      </c>
      <c r="B25" s="1">
        <f t="shared" si="11"/>
        <v>1700000000</v>
      </c>
      <c r="C25" s="1">
        <v>23160</v>
      </c>
      <c r="D25" s="1">
        <v>23400</v>
      </c>
      <c r="E25" s="1">
        <v>22990</v>
      </c>
      <c r="F25" s="6">
        <f t="shared" si="0"/>
        <v>146804835.92400691</v>
      </c>
      <c r="G25" s="6">
        <f t="shared" si="1"/>
        <v>145299145.29914531</v>
      </c>
      <c r="H25" s="6">
        <f t="shared" si="2"/>
        <v>147890387.12483689</v>
      </c>
      <c r="I25" s="6">
        <f t="shared" si="3"/>
        <v>8635578.5837651119</v>
      </c>
      <c r="J25" s="6">
        <f t="shared" si="4"/>
        <v>8547008.5470085479</v>
      </c>
      <c r="K25" s="6">
        <f t="shared" si="5"/>
        <v>8699434.5367551111</v>
      </c>
      <c r="L25" s="6">
        <f t="shared" si="13"/>
        <v>141249794.35502106</v>
      </c>
      <c r="M25" s="6">
        <f t="shared" si="7"/>
        <v>8308811.4326482974</v>
      </c>
      <c r="N25" s="6"/>
      <c r="O25" s="10">
        <f t="shared" si="8"/>
        <v>146.6647894493297</v>
      </c>
      <c r="P25" s="10">
        <f t="shared" si="9"/>
        <v>8.6273405558429221</v>
      </c>
      <c r="Q25" s="10">
        <f t="shared" si="10"/>
        <v>141.24979435502107</v>
      </c>
      <c r="R25" s="10">
        <f t="shared" si="10"/>
        <v>8.308811432648298</v>
      </c>
      <c r="S25" s="6"/>
    </row>
    <row r="26" spans="1:19" x14ac:dyDescent="0.25">
      <c r="A26">
        <v>18</v>
      </c>
      <c r="B26" s="1">
        <f t="shared" si="11"/>
        <v>1800000000</v>
      </c>
      <c r="C26" s="1">
        <v>24770</v>
      </c>
      <c r="D26" s="1">
        <v>24720</v>
      </c>
      <c r="E26" s="1">
        <v>24770</v>
      </c>
      <c r="F26" s="6">
        <f t="shared" si="0"/>
        <v>145337101.33225676</v>
      </c>
      <c r="G26" s="6">
        <f t="shared" si="1"/>
        <v>145631067.96116504</v>
      </c>
      <c r="H26" s="6">
        <f t="shared" si="2"/>
        <v>145337101.33225676</v>
      </c>
      <c r="I26" s="6">
        <f t="shared" si="3"/>
        <v>8074283.4073475981</v>
      </c>
      <c r="J26" s="6">
        <f t="shared" si="4"/>
        <v>8090614.8867313908</v>
      </c>
      <c r="K26" s="6">
        <f t="shared" si="5"/>
        <v>8074283.4073475981</v>
      </c>
      <c r="L26" s="6">
        <f t="shared" si="13"/>
        <v>141249794.35502106</v>
      </c>
      <c r="M26" s="6">
        <f t="shared" si="7"/>
        <v>7847210.7975011701</v>
      </c>
      <c r="N26" s="6"/>
      <c r="O26" s="10">
        <f t="shared" si="8"/>
        <v>145.4350902085595</v>
      </c>
      <c r="P26" s="10">
        <f t="shared" si="9"/>
        <v>8.0797272338088622</v>
      </c>
      <c r="Q26" s="10">
        <f t="shared" si="10"/>
        <v>141.24979435502107</v>
      </c>
      <c r="R26" s="10">
        <f t="shared" si="10"/>
        <v>7.8472107975011705</v>
      </c>
      <c r="S26" s="6"/>
    </row>
    <row r="27" spans="1:19" x14ac:dyDescent="0.25">
      <c r="A27">
        <v>19</v>
      </c>
      <c r="B27" s="1">
        <f t="shared" si="11"/>
        <v>1900000000</v>
      </c>
      <c r="C27" s="1">
        <v>25750</v>
      </c>
      <c r="D27" s="1">
        <v>24900</v>
      </c>
      <c r="E27" s="1">
        <v>24970</v>
      </c>
      <c r="F27" s="6">
        <f t="shared" si="0"/>
        <v>147572815.53398058</v>
      </c>
      <c r="G27" s="6">
        <f t="shared" si="1"/>
        <v>152610441.76706827</v>
      </c>
      <c r="H27" s="6">
        <f t="shared" si="2"/>
        <v>152182619.14297155</v>
      </c>
      <c r="I27" s="6">
        <f t="shared" si="3"/>
        <v>7766990.2912621358</v>
      </c>
      <c r="J27" s="6">
        <f t="shared" si="4"/>
        <v>8032128.5140562244</v>
      </c>
      <c r="K27" s="6">
        <f t="shared" si="5"/>
        <v>8009611.5338406079</v>
      </c>
      <c r="L27" s="6">
        <f t="shared" si="13"/>
        <v>141249794.35502106</v>
      </c>
      <c r="M27" s="6">
        <f t="shared" si="7"/>
        <v>7434199.7028958453</v>
      </c>
      <c r="N27" s="6"/>
      <c r="O27" s="10">
        <f t="shared" si="8"/>
        <v>150.78862548134015</v>
      </c>
      <c r="P27" s="10">
        <f t="shared" si="9"/>
        <v>7.9362434463863227</v>
      </c>
      <c r="Q27" s="10">
        <f t="shared" si="10"/>
        <v>141.24979435502107</v>
      </c>
      <c r="R27" s="10">
        <f t="shared" si="10"/>
        <v>7.4341997028958451</v>
      </c>
      <c r="S27" s="6"/>
    </row>
    <row r="28" spans="1:19" x14ac:dyDescent="0.25">
      <c r="A28">
        <v>20</v>
      </c>
      <c r="B28" s="1">
        <f t="shared" si="11"/>
        <v>2000000000</v>
      </c>
      <c r="C28" s="1">
        <v>26020</v>
      </c>
      <c r="D28" s="1">
        <v>26200</v>
      </c>
      <c r="E28" s="1">
        <v>26800</v>
      </c>
      <c r="F28" s="6">
        <f t="shared" si="0"/>
        <v>153727901.61414295</v>
      </c>
      <c r="G28" s="6">
        <f t="shared" si="1"/>
        <v>152671755.72519082</v>
      </c>
      <c r="H28" s="6">
        <f t="shared" si="2"/>
        <v>149253731.34328359</v>
      </c>
      <c r="I28" s="6">
        <f t="shared" si="3"/>
        <v>7686395.0807071477</v>
      </c>
      <c r="J28" s="6">
        <f t="shared" si="4"/>
        <v>7633587.7862595413</v>
      </c>
      <c r="K28" s="6">
        <f t="shared" si="5"/>
        <v>7462686.5671641799</v>
      </c>
      <c r="L28" s="6">
        <f t="shared" si="13"/>
        <v>141249794.35502106</v>
      </c>
      <c r="M28" s="6">
        <f t="shared" si="7"/>
        <v>7062489.7177510532</v>
      </c>
      <c r="N28" s="6"/>
      <c r="O28" s="10">
        <f t="shared" si="8"/>
        <v>151.88446289420577</v>
      </c>
      <c r="P28" s="10">
        <f t="shared" si="9"/>
        <v>7.5942231447102904</v>
      </c>
      <c r="Q28" s="10">
        <f t="shared" si="10"/>
        <v>141.24979435502107</v>
      </c>
      <c r="R28" s="10">
        <f t="shared" si="10"/>
        <v>7.0624897177510535</v>
      </c>
      <c r="S28" s="6"/>
    </row>
    <row r="29" spans="1:19" x14ac:dyDescent="0.25"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10"/>
      <c r="P29" s="10"/>
      <c r="Q29" s="10"/>
      <c r="R29" s="10"/>
      <c r="S29" s="6"/>
    </row>
    <row r="30" spans="1:19" x14ac:dyDescent="0.25">
      <c r="B30" s="1"/>
      <c r="C30" s="1"/>
      <c r="D30" s="13"/>
      <c r="E30" s="13"/>
      <c r="F30" s="6"/>
      <c r="G30" s="6"/>
      <c r="H30" s="6"/>
      <c r="I30" s="6"/>
      <c r="J30" s="6"/>
      <c r="K30" s="6"/>
      <c r="L30" s="6"/>
      <c r="M30" s="6"/>
      <c r="N30" s="6"/>
      <c r="O30" s="10"/>
      <c r="P30" s="10"/>
      <c r="Q30" s="10"/>
      <c r="R30" s="10"/>
      <c r="S30" s="6"/>
    </row>
    <row r="31" spans="1:19" x14ac:dyDescent="0.25"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10"/>
      <c r="P31" s="10"/>
      <c r="Q31" s="10"/>
      <c r="R31" s="10"/>
      <c r="S31" s="6"/>
    </row>
    <row r="32" spans="1:19" x14ac:dyDescent="0.25"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10"/>
      <c r="P32" s="10"/>
      <c r="Q32" s="10"/>
      <c r="R32" s="10"/>
      <c r="S32" s="6"/>
    </row>
    <row r="33" spans="2:19" x14ac:dyDescent="0.25"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10"/>
      <c r="P33" s="10"/>
      <c r="Q33" s="10"/>
      <c r="R33" s="10"/>
      <c r="S33" s="6"/>
    </row>
    <row r="34" spans="2:19" x14ac:dyDescent="0.25"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10"/>
      <c r="P34" s="10"/>
      <c r="Q34" s="10"/>
      <c r="R34" s="10"/>
      <c r="S34" s="6"/>
    </row>
    <row r="35" spans="2:19" x14ac:dyDescent="0.25"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10"/>
      <c r="P35" s="10"/>
      <c r="Q35" s="10"/>
      <c r="R35" s="10"/>
      <c r="S35" s="6"/>
    </row>
    <row r="36" spans="2:19" x14ac:dyDescent="0.25"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10"/>
      <c r="P36" s="10"/>
      <c r="Q36" s="10"/>
      <c r="R36" s="10"/>
      <c r="S36" s="6"/>
    </row>
    <row r="37" spans="2:19" x14ac:dyDescent="0.25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10"/>
      <c r="P37" s="10"/>
      <c r="Q37" s="10"/>
      <c r="R37" s="10"/>
      <c r="S37" s="6"/>
    </row>
    <row r="38" spans="2:19" x14ac:dyDescent="0.25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10"/>
      <c r="P38" s="10"/>
      <c r="Q38" s="10"/>
      <c r="R38" s="10"/>
      <c r="S38" s="6"/>
    </row>
    <row r="39" spans="2:19" x14ac:dyDescent="0.25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10"/>
      <c r="P39" s="10"/>
      <c r="Q39" s="10"/>
      <c r="R39" s="10"/>
      <c r="S39" s="6"/>
    </row>
    <row r="40" spans="2:19" x14ac:dyDescent="0.25"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10"/>
      <c r="P40" s="10"/>
      <c r="Q40" s="10"/>
      <c r="R40" s="10"/>
      <c r="S40" s="6"/>
    </row>
    <row r="41" spans="2:19" x14ac:dyDescent="0.25"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10"/>
      <c r="P41" s="10"/>
      <c r="Q41" s="10"/>
      <c r="R41" s="10"/>
      <c r="S41" s="6"/>
    </row>
    <row r="42" spans="2:19" x14ac:dyDescent="0.25"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10"/>
      <c r="P42" s="10"/>
      <c r="Q42" s="10"/>
      <c r="R42" s="10"/>
      <c r="S42" s="6"/>
    </row>
    <row r="43" spans="2:19" x14ac:dyDescent="0.25"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10"/>
      <c r="P43" s="10"/>
      <c r="Q43" s="10"/>
      <c r="R43" s="10"/>
      <c r="S43" s="6"/>
    </row>
    <row r="44" spans="2:19" x14ac:dyDescent="0.25"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10"/>
      <c r="P44" s="10"/>
      <c r="Q44" s="10"/>
      <c r="R44" s="10"/>
      <c r="S44" s="6"/>
    </row>
    <row r="45" spans="2:19" x14ac:dyDescent="0.25"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10"/>
      <c r="P45" s="10"/>
      <c r="Q45" s="10"/>
      <c r="R45" s="10"/>
      <c r="S45" s="6"/>
    </row>
    <row r="46" spans="2:19" x14ac:dyDescent="0.25"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10"/>
      <c r="P46" s="10"/>
      <c r="Q46" s="10"/>
      <c r="R46" s="10"/>
      <c r="S46" s="6"/>
    </row>
    <row r="47" spans="2:19" x14ac:dyDescent="0.25"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10"/>
      <c r="P47" s="10"/>
      <c r="Q47" s="10"/>
      <c r="R47" s="10"/>
      <c r="S47" s="6"/>
    </row>
    <row r="48" spans="2:19" x14ac:dyDescent="0.25"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10"/>
      <c r="P48" s="10"/>
      <c r="Q48" s="10"/>
      <c r="R48" s="10"/>
      <c r="S48" s="6"/>
    </row>
    <row r="49" spans="2:21" x14ac:dyDescent="0.25"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10"/>
      <c r="P49" s="10"/>
      <c r="Q49" s="10"/>
      <c r="R49" s="10"/>
      <c r="S49" s="6"/>
    </row>
    <row r="50" spans="2:21" x14ac:dyDescent="0.25"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10"/>
      <c r="P50" s="10"/>
      <c r="Q50" s="10"/>
      <c r="R50" s="10"/>
      <c r="S50" s="6"/>
    </row>
    <row r="51" spans="2:21" x14ac:dyDescent="0.25"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10"/>
      <c r="P51" s="10"/>
      <c r="Q51" s="10"/>
      <c r="R51" s="10"/>
      <c r="S51" s="6"/>
    </row>
    <row r="52" spans="2:21" x14ac:dyDescent="0.25"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10"/>
      <c r="P52" s="10"/>
      <c r="Q52" s="10"/>
      <c r="R52" s="10"/>
      <c r="S52" s="6"/>
    </row>
    <row r="53" spans="2:21" x14ac:dyDescent="0.25"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10"/>
      <c r="P53" s="10"/>
      <c r="Q53" s="10"/>
      <c r="R53" s="10"/>
      <c r="S53" s="6"/>
    </row>
    <row r="54" spans="2:21" x14ac:dyDescent="0.25"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10"/>
      <c r="P54" s="10"/>
      <c r="Q54" s="10"/>
      <c r="R54" s="10"/>
      <c r="S54" s="6"/>
    </row>
    <row r="55" spans="2:21" x14ac:dyDescent="0.25"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10"/>
      <c r="P55" s="10"/>
      <c r="Q55" s="10"/>
      <c r="R55" s="10"/>
      <c r="S55" s="6"/>
    </row>
    <row r="56" spans="2:21" x14ac:dyDescent="0.25"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10"/>
      <c r="P56" s="10"/>
      <c r="Q56" s="10"/>
      <c r="R56" s="10"/>
      <c r="S56" s="6"/>
    </row>
    <row r="57" spans="2:21" x14ac:dyDescent="0.25"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10"/>
      <c r="P57" s="10"/>
      <c r="Q57" s="10"/>
      <c r="R57" s="10"/>
      <c r="S57" s="6"/>
    </row>
    <row r="58" spans="2:21" x14ac:dyDescent="0.25"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10"/>
      <c r="P58" s="10"/>
      <c r="Q58" s="10"/>
      <c r="R58" s="10"/>
      <c r="S58" s="6"/>
    </row>
    <row r="59" spans="2:21" x14ac:dyDescent="0.25"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10"/>
      <c r="P59" s="10"/>
      <c r="Q59" s="10"/>
      <c r="R59" s="10"/>
      <c r="S59" s="6"/>
    </row>
    <row r="60" spans="2:21" x14ac:dyDescent="0.25"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10"/>
      <c r="P60" s="10"/>
      <c r="Q60" s="10"/>
      <c r="R60" s="10"/>
      <c r="S60" s="6"/>
      <c r="U60" t="s">
        <v>10</v>
      </c>
    </row>
    <row r="61" spans="2:21" x14ac:dyDescent="0.25"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10"/>
      <c r="P61" s="10"/>
      <c r="Q61" s="10"/>
      <c r="R61" s="10"/>
      <c r="S61" s="6"/>
    </row>
    <row r="62" spans="2:21" x14ac:dyDescent="0.25"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10"/>
      <c r="P62" s="10"/>
      <c r="Q62" s="10"/>
      <c r="R62" s="10"/>
      <c r="S62" s="6"/>
    </row>
    <row r="63" spans="2:21" x14ac:dyDescent="0.25"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10"/>
      <c r="P63" s="10"/>
      <c r="Q63" s="10"/>
      <c r="R63" s="10"/>
      <c r="S63" s="6"/>
    </row>
    <row r="64" spans="2:21" x14ac:dyDescent="0.25"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10"/>
      <c r="P64" s="10"/>
      <c r="Q64" s="10"/>
      <c r="R64" s="10"/>
      <c r="S64" s="6"/>
    </row>
    <row r="65" spans="2:19" x14ac:dyDescent="0.25"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10"/>
      <c r="P65" s="10"/>
      <c r="Q65" s="10"/>
      <c r="R65" s="10"/>
      <c r="S65" s="6"/>
    </row>
    <row r="66" spans="2:19" x14ac:dyDescent="0.25"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10"/>
      <c r="P66" s="10"/>
      <c r="Q66" s="10"/>
      <c r="R66" s="10"/>
      <c r="S66" s="6"/>
    </row>
    <row r="67" spans="2:19" x14ac:dyDescent="0.25"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10"/>
      <c r="P67" s="10"/>
      <c r="Q67" s="10"/>
      <c r="R67" s="10"/>
      <c r="S67" s="6"/>
    </row>
    <row r="68" spans="2:19" x14ac:dyDescent="0.25"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10"/>
      <c r="P68" s="10"/>
      <c r="Q68" s="10"/>
      <c r="R68" s="10"/>
      <c r="S68" s="6"/>
    </row>
    <row r="69" spans="2:19" x14ac:dyDescent="0.25"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10"/>
      <c r="P69" s="10"/>
      <c r="Q69" s="10"/>
      <c r="R69" s="10"/>
      <c r="S69" s="6"/>
    </row>
    <row r="70" spans="2:19" x14ac:dyDescent="0.25"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10"/>
      <c r="P70" s="10"/>
      <c r="Q70" s="10"/>
      <c r="R70" s="10"/>
      <c r="S70" s="6"/>
    </row>
    <row r="71" spans="2:19" x14ac:dyDescent="0.25"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10"/>
      <c r="P71" s="10"/>
      <c r="Q71" s="10"/>
      <c r="R71" s="10"/>
      <c r="S71" s="6"/>
    </row>
    <row r="72" spans="2:19" x14ac:dyDescent="0.25"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10"/>
      <c r="P72" s="10"/>
      <c r="Q72" s="10"/>
      <c r="R72" s="10"/>
      <c r="S72" s="6"/>
    </row>
    <row r="73" spans="2:19" x14ac:dyDescent="0.25"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10"/>
      <c r="P73" s="10"/>
      <c r="Q73" s="10"/>
      <c r="R73" s="10"/>
      <c r="S73" s="6"/>
    </row>
    <row r="74" spans="2:19" x14ac:dyDescent="0.25"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10"/>
      <c r="P74" s="10"/>
      <c r="Q74" s="10"/>
      <c r="R74" s="10"/>
      <c r="S74" s="6"/>
    </row>
    <row r="75" spans="2:19" x14ac:dyDescent="0.25"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10"/>
      <c r="P75" s="10"/>
      <c r="Q75" s="10"/>
      <c r="R75" s="10"/>
      <c r="S75" s="6"/>
    </row>
    <row r="76" spans="2:19" x14ac:dyDescent="0.25"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10"/>
      <c r="P76" s="10"/>
      <c r="Q76" s="10"/>
      <c r="R76" s="10"/>
      <c r="S76" s="6"/>
    </row>
    <row r="77" spans="2:19" x14ac:dyDescent="0.25"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10"/>
      <c r="P77" s="10"/>
      <c r="Q77" s="10"/>
      <c r="R77" s="10"/>
      <c r="S77" s="6"/>
    </row>
    <row r="78" spans="2:19" x14ac:dyDescent="0.25"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10"/>
      <c r="P78" s="10"/>
      <c r="Q78" s="10"/>
      <c r="R78" s="10"/>
      <c r="S78" s="6"/>
    </row>
    <row r="79" spans="2:19" x14ac:dyDescent="0.25"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10"/>
      <c r="P79" s="10"/>
      <c r="Q79" s="10"/>
      <c r="R79" s="10"/>
      <c r="S79" s="6"/>
    </row>
    <row r="80" spans="2:19" x14ac:dyDescent="0.25"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10"/>
      <c r="P80" s="10"/>
      <c r="Q80" s="10"/>
      <c r="R80" s="10"/>
      <c r="S80" s="6"/>
    </row>
    <row r="81" spans="2:19" x14ac:dyDescent="0.25"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10"/>
      <c r="P81" s="10"/>
      <c r="Q81" s="10"/>
      <c r="R81" s="10"/>
      <c r="S81" s="6"/>
    </row>
    <row r="82" spans="2:19" x14ac:dyDescent="0.25"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10"/>
      <c r="P82" s="10"/>
      <c r="Q82" s="10"/>
      <c r="R82" s="10"/>
      <c r="S82" s="6"/>
    </row>
    <row r="83" spans="2:19" x14ac:dyDescent="0.25"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10"/>
      <c r="P83" s="10"/>
      <c r="Q83" s="10"/>
      <c r="R83" s="10"/>
      <c r="S83" s="6"/>
    </row>
    <row r="84" spans="2:19" x14ac:dyDescent="0.25"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10"/>
      <c r="P84" s="10"/>
      <c r="Q84" s="10"/>
      <c r="R84" s="10"/>
      <c r="S84" s="6"/>
    </row>
    <row r="85" spans="2:19" x14ac:dyDescent="0.25"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10"/>
      <c r="P85" s="10"/>
      <c r="Q85" s="10"/>
      <c r="R85" s="10"/>
      <c r="S85" s="6"/>
    </row>
    <row r="86" spans="2:19" x14ac:dyDescent="0.25"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10"/>
      <c r="P86" s="10"/>
      <c r="Q86" s="10"/>
      <c r="R86" s="10"/>
      <c r="S86" s="6"/>
    </row>
    <row r="87" spans="2:19" x14ac:dyDescent="0.25"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10"/>
      <c r="P87" s="10"/>
      <c r="Q87" s="10"/>
      <c r="R87" s="10"/>
      <c r="S87" s="6"/>
    </row>
    <row r="88" spans="2:19" x14ac:dyDescent="0.25"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10"/>
      <c r="P88" s="10"/>
      <c r="Q88" s="10"/>
      <c r="R88" s="10"/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74A5-831A-42DC-9EA0-5A8822E9F3A6}">
  <dimension ref="A1:U88"/>
  <sheetViews>
    <sheetView topLeftCell="K10" workbookViewId="0">
      <selection sqref="A1:M1"/>
    </sheetView>
  </sheetViews>
  <sheetFormatPr baseColWidth="10" defaultRowHeight="15" x14ac:dyDescent="0.25"/>
  <cols>
    <col min="1" max="1" width="6.42578125" bestFit="1" customWidth="1"/>
    <col min="2" max="2" width="12.7109375" bestFit="1" customWidth="1"/>
    <col min="3" max="3" width="13.140625" bestFit="1" customWidth="1"/>
    <col min="4" max="5" width="13.140625" customWidth="1"/>
    <col min="6" max="6" width="13.7109375" bestFit="1" customWidth="1"/>
    <col min="7" max="8" width="13.7109375" customWidth="1"/>
    <col min="9" max="9" width="15" bestFit="1" customWidth="1"/>
    <col min="10" max="11" width="15" customWidth="1"/>
    <col min="12" max="12" width="13.7109375" bestFit="1" customWidth="1"/>
    <col min="13" max="13" width="15" bestFit="1" customWidth="1"/>
    <col min="14" max="14" width="5.5703125" customWidth="1"/>
    <col min="15" max="15" width="9.5703125" bestFit="1" customWidth="1"/>
    <col min="16" max="16" width="12.85546875" bestFit="1" customWidth="1"/>
    <col min="17" max="17" width="9.5703125" bestFit="1" customWidth="1"/>
    <col min="18" max="18" width="12.85546875" bestFit="1" customWidth="1"/>
    <col min="19" max="19" width="5.5703125" customWidth="1"/>
  </cols>
  <sheetData>
    <row r="1" spans="1:19" ht="18.75" x14ac:dyDescent="0.3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4"/>
      <c r="O1" s="14"/>
      <c r="P1" s="14"/>
      <c r="Q1" s="14"/>
      <c r="R1" s="14"/>
      <c r="S1" s="11"/>
    </row>
    <row r="2" spans="1:19" x14ac:dyDescent="0.2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5"/>
      <c r="O2" s="15"/>
      <c r="P2" s="15"/>
      <c r="Q2" s="15"/>
      <c r="R2" s="15"/>
      <c r="S2" s="15"/>
    </row>
    <row r="3" spans="1:19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5"/>
      <c r="O3" s="15"/>
      <c r="P3" s="15"/>
      <c r="Q3" s="15"/>
      <c r="R3" s="15"/>
      <c r="S3" s="15"/>
    </row>
    <row r="4" spans="1:19" x14ac:dyDescent="0.25">
      <c r="A4" s="19" t="s">
        <v>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5"/>
      <c r="O4" s="15"/>
      <c r="P4" s="15"/>
      <c r="Q4" s="15"/>
      <c r="R4" s="15"/>
      <c r="S4" s="15"/>
    </row>
    <row r="5" spans="1:19" x14ac:dyDescent="0.25">
      <c r="A5" s="15" t="s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7" spans="1:19" x14ac:dyDescent="0.25">
      <c r="A7" s="17" t="s">
        <v>4</v>
      </c>
      <c r="B7" s="17"/>
      <c r="C7" s="20" t="s">
        <v>5</v>
      </c>
      <c r="D7" s="20"/>
      <c r="E7" s="20"/>
      <c r="F7" s="20"/>
      <c r="G7" s="20"/>
      <c r="H7" s="20"/>
      <c r="I7" s="20"/>
      <c r="J7" s="20"/>
      <c r="K7" s="20"/>
      <c r="L7" s="16" t="s">
        <v>6</v>
      </c>
      <c r="M7" s="16"/>
      <c r="N7" s="8"/>
      <c r="O7" s="20" t="s">
        <v>5</v>
      </c>
      <c r="P7" s="20"/>
      <c r="Q7" s="16" t="s">
        <v>6</v>
      </c>
      <c r="R7" s="16"/>
      <c r="S7" s="8"/>
    </row>
    <row r="8" spans="1:19" x14ac:dyDescent="0.25">
      <c r="A8" s="2" t="s">
        <v>7</v>
      </c>
      <c r="B8" s="2" t="s">
        <v>0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4" t="s">
        <v>1</v>
      </c>
      <c r="M8" s="4" t="s">
        <v>2</v>
      </c>
      <c r="N8" s="9"/>
      <c r="O8" s="3" t="s">
        <v>1</v>
      </c>
      <c r="P8" s="3" t="s">
        <v>2</v>
      </c>
      <c r="Q8" s="4" t="s">
        <v>1</v>
      </c>
      <c r="R8" s="4" t="s">
        <v>2</v>
      </c>
      <c r="S8" s="9"/>
    </row>
    <row r="9" spans="1:19" x14ac:dyDescent="0.25">
      <c r="A9">
        <v>1</v>
      </c>
      <c r="B9" s="1">
        <v>100000000</v>
      </c>
      <c r="C9">
        <v>13310</v>
      </c>
      <c r="D9">
        <v>13250</v>
      </c>
      <c r="E9">
        <v>13320</v>
      </c>
      <c r="F9" s="6">
        <f>B9*2/C9*1000</f>
        <v>15026296.018031554</v>
      </c>
      <c r="G9" s="6">
        <f>B9*2/D9*1000</f>
        <v>15094339.622641509</v>
      </c>
      <c r="H9" s="6">
        <f>B9*2/E9*1000</f>
        <v>15015015.015015015</v>
      </c>
      <c r="I9" s="6">
        <f>F9/A9</f>
        <v>15026296.018031554</v>
      </c>
      <c r="J9" s="6">
        <f>G9/A9</f>
        <v>15094339.622641509</v>
      </c>
      <c r="K9" s="6">
        <f>H9/A9</f>
        <v>15015015.015015015</v>
      </c>
      <c r="L9" s="6">
        <f>(F9+G9+H9)/3</f>
        <v>15045216.885229358</v>
      </c>
      <c r="M9" s="6">
        <f>L9/A9</f>
        <v>15045216.885229358</v>
      </c>
      <c r="N9" s="6"/>
      <c r="O9" s="10">
        <f>(F9+G9+H9)/3/1000000</f>
        <v>15.045216885229358</v>
      </c>
      <c r="P9" s="10">
        <f>(I9+J9+K9)/3/1000000</f>
        <v>15.045216885229358</v>
      </c>
      <c r="Q9" s="10">
        <f>L9/1000000</f>
        <v>15.045216885229358</v>
      </c>
      <c r="R9" s="10">
        <f>M9/1000000</f>
        <v>15.045216885229358</v>
      </c>
      <c r="S9" s="6"/>
    </row>
    <row r="10" spans="1:19" x14ac:dyDescent="0.25">
      <c r="A10">
        <v>2</v>
      </c>
      <c r="B10" s="1">
        <f>$B$9*A10</f>
        <v>200000000</v>
      </c>
      <c r="C10">
        <v>13330</v>
      </c>
      <c r="D10">
        <v>13310</v>
      </c>
      <c r="E10">
        <v>13390</v>
      </c>
      <c r="F10" s="6">
        <f t="shared" ref="F10:F28" si="0">B10*2/C10*1000</f>
        <v>30007501.875468869</v>
      </c>
      <c r="G10" s="6">
        <f t="shared" ref="G10:G28" si="1">B10*2/D10*1000</f>
        <v>30052592.036063109</v>
      </c>
      <c r="H10" s="6">
        <f t="shared" ref="H10:H28" si="2">B10*2/E10*1000</f>
        <v>29873039.581777446</v>
      </c>
      <c r="I10" s="6">
        <f t="shared" ref="I10:I28" si="3">F10/A10</f>
        <v>15003750.937734434</v>
      </c>
      <c r="J10" s="6">
        <f t="shared" ref="J10:J28" si="4">G10/A10</f>
        <v>15026296.018031554</v>
      </c>
      <c r="K10" s="6">
        <f t="shared" ref="K10:K28" si="5">H10/A10</f>
        <v>14936519.790888723</v>
      </c>
      <c r="L10" s="6">
        <f t="shared" ref="L10:L12" si="6">$L$9*A10</f>
        <v>30090433.770458717</v>
      </c>
      <c r="M10" s="6">
        <f t="shared" ref="M10:M28" si="7">L10/A10</f>
        <v>15045216.885229358</v>
      </c>
      <c r="N10" s="6"/>
      <c r="O10" s="10">
        <f t="shared" ref="O10:O28" si="8">(F10+G10+H10)/3/1000000</f>
        <v>29.977711164436474</v>
      </c>
      <c r="P10" s="10">
        <f t="shared" ref="P10:P28" si="9">(I10+J10+K10)/3/1000000</f>
        <v>14.988855582218237</v>
      </c>
      <c r="Q10" s="10">
        <f t="shared" ref="Q10:R28" si="10">L10/1000000</f>
        <v>30.090433770458716</v>
      </c>
      <c r="R10" s="10">
        <f t="shared" si="10"/>
        <v>15.045216885229358</v>
      </c>
      <c r="S10" s="6"/>
    </row>
    <row r="11" spans="1:19" x14ac:dyDescent="0.25">
      <c r="A11">
        <v>3</v>
      </c>
      <c r="B11" s="1">
        <f t="shared" ref="B11:B28" si="11">$B$9*A11</f>
        <v>300000000</v>
      </c>
      <c r="C11">
        <v>13160</v>
      </c>
      <c r="D11">
        <v>13280</v>
      </c>
      <c r="E11">
        <v>13330</v>
      </c>
      <c r="F11" s="6">
        <f t="shared" si="0"/>
        <v>45592705.167173252</v>
      </c>
      <c r="G11" s="6">
        <f t="shared" si="1"/>
        <v>45180722.891566262</v>
      </c>
      <c r="H11" s="6">
        <f t="shared" si="2"/>
        <v>45011252.813203305</v>
      </c>
      <c r="I11" s="6">
        <f t="shared" si="3"/>
        <v>15197568.38905775</v>
      </c>
      <c r="J11" s="6">
        <f t="shared" si="4"/>
        <v>15060240.963855421</v>
      </c>
      <c r="K11" s="6">
        <f t="shared" si="5"/>
        <v>15003750.937734434</v>
      </c>
      <c r="L11" s="6">
        <f t="shared" si="6"/>
        <v>45135650.655688077</v>
      </c>
      <c r="M11" s="6">
        <f t="shared" si="7"/>
        <v>15045216.885229358</v>
      </c>
      <c r="N11" s="6"/>
      <c r="O11" s="10">
        <f t="shared" si="8"/>
        <v>45.261560290647601</v>
      </c>
      <c r="P11" s="10">
        <f t="shared" si="9"/>
        <v>15.087186763549202</v>
      </c>
      <c r="Q11" s="10">
        <f t="shared" si="10"/>
        <v>45.135650655688075</v>
      </c>
      <c r="R11" s="10">
        <f t="shared" si="10"/>
        <v>15.045216885229358</v>
      </c>
      <c r="S11" s="6"/>
    </row>
    <row r="12" spans="1:19" x14ac:dyDescent="0.25">
      <c r="A12">
        <v>4</v>
      </c>
      <c r="B12" s="1">
        <f t="shared" si="11"/>
        <v>400000000</v>
      </c>
      <c r="C12">
        <v>13340</v>
      </c>
      <c r="D12">
        <v>13030</v>
      </c>
      <c r="E12">
        <v>13160</v>
      </c>
      <c r="F12" s="6">
        <f t="shared" si="0"/>
        <v>59970014.992503747</v>
      </c>
      <c r="G12" s="6">
        <f t="shared" si="1"/>
        <v>61396776.669224866</v>
      </c>
      <c r="H12" s="6">
        <f t="shared" si="2"/>
        <v>60790273.556231007</v>
      </c>
      <c r="I12" s="6">
        <f t="shared" si="3"/>
        <v>14992503.748125937</v>
      </c>
      <c r="J12" s="6">
        <f t="shared" si="4"/>
        <v>15349194.167306216</v>
      </c>
      <c r="K12" s="6">
        <f t="shared" si="5"/>
        <v>15197568.389057752</v>
      </c>
      <c r="L12" s="6">
        <f t="shared" si="6"/>
        <v>60180867.540917434</v>
      </c>
      <c r="M12" s="6">
        <f t="shared" si="7"/>
        <v>15045216.885229358</v>
      </c>
      <c r="N12" s="6"/>
      <c r="O12" s="10">
        <f t="shared" si="8"/>
        <v>60.719021739319885</v>
      </c>
      <c r="P12" s="10">
        <f t="shared" si="9"/>
        <v>15.179755434829971</v>
      </c>
      <c r="Q12" s="10">
        <f t="shared" si="10"/>
        <v>60.180867540917433</v>
      </c>
      <c r="R12" s="10">
        <f t="shared" si="10"/>
        <v>15.045216885229358</v>
      </c>
      <c r="S12" s="6"/>
    </row>
    <row r="13" spans="1:19" x14ac:dyDescent="0.25">
      <c r="A13">
        <v>5</v>
      </c>
      <c r="B13" s="1">
        <f t="shared" si="11"/>
        <v>500000000</v>
      </c>
      <c r="C13">
        <v>14190</v>
      </c>
      <c r="D13">
        <v>14050</v>
      </c>
      <c r="E13">
        <v>12820</v>
      </c>
      <c r="F13" s="6">
        <f t="shared" si="0"/>
        <v>70472163.495419309</v>
      </c>
      <c r="G13" s="6">
        <f t="shared" si="1"/>
        <v>71174377.22419928</v>
      </c>
      <c r="H13" s="6">
        <f t="shared" si="2"/>
        <v>78003120.124804989</v>
      </c>
      <c r="I13" s="6">
        <f t="shared" si="3"/>
        <v>14094432.699083861</v>
      </c>
      <c r="J13" s="6">
        <f t="shared" si="4"/>
        <v>14234875.444839856</v>
      </c>
      <c r="K13" s="6">
        <f t="shared" si="5"/>
        <v>15600624.024960998</v>
      </c>
      <c r="L13" s="6">
        <f>$L$9*(4+(A13-4)*60%)</f>
        <v>69207997.672055051</v>
      </c>
      <c r="M13" s="6">
        <f t="shared" si="7"/>
        <v>13841599.534411009</v>
      </c>
      <c r="N13" s="6"/>
      <c r="O13" s="10">
        <f t="shared" si="8"/>
        <v>73.216553614807864</v>
      </c>
      <c r="P13" s="10">
        <f t="shared" si="9"/>
        <v>14.643310722961569</v>
      </c>
      <c r="Q13" s="10">
        <f t="shared" si="10"/>
        <v>69.207997672055058</v>
      </c>
      <c r="R13" s="10">
        <f t="shared" si="10"/>
        <v>13.84159953441101</v>
      </c>
      <c r="S13" s="6"/>
    </row>
    <row r="14" spans="1:19" x14ac:dyDescent="0.25">
      <c r="A14">
        <v>6</v>
      </c>
      <c r="B14" s="1">
        <f t="shared" si="11"/>
        <v>600000000</v>
      </c>
      <c r="C14">
        <v>13430</v>
      </c>
      <c r="D14">
        <v>12820</v>
      </c>
      <c r="E14">
        <v>13000</v>
      </c>
      <c r="F14" s="6">
        <f t="shared" si="0"/>
        <v>89352196.574832454</v>
      </c>
      <c r="G14" s="6">
        <f t="shared" si="1"/>
        <v>93603744.149765983</v>
      </c>
      <c r="H14" s="6">
        <f t="shared" si="2"/>
        <v>92307692.307692319</v>
      </c>
      <c r="I14" s="6">
        <f t="shared" si="3"/>
        <v>14892032.762472076</v>
      </c>
      <c r="J14" s="6">
        <f t="shared" si="4"/>
        <v>15600624.024960997</v>
      </c>
      <c r="K14" s="6">
        <f t="shared" si="5"/>
        <v>15384615.384615386</v>
      </c>
      <c r="L14" s="6">
        <f t="shared" ref="L14:L20" si="12">$L$9*(4+(A14-4)*60%)</f>
        <v>78235127.80319266</v>
      </c>
      <c r="M14" s="6">
        <f t="shared" si="7"/>
        <v>13039187.967198776</v>
      </c>
      <c r="N14" s="6"/>
      <c r="O14" s="10">
        <f t="shared" si="8"/>
        <v>91.754544344096914</v>
      </c>
      <c r="P14" s="10">
        <f t="shared" si="9"/>
        <v>15.292424057349486</v>
      </c>
      <c r="Q14" s="10">
        <f t="shared" si="10"/>
        <v>78.235127803192654</v>
      </c>
      <c r="R14" s="10">
        <f t="shared" si="10"/>
        <v>13.039187967198776</v>
      </c>
      <c r="S14" s="6"/>
    </row>
    <row r="15" spans="1:19" x14ac:dyDescent="0.25">
      <c r="A15">
        <v>7</v>
      </c>
      <c r="B15" s="1">
        <f t="shared" si="11"/>
        <v>700000000</v>
      </c>
      <c r="C15">
        <v>14970</v>
      </c>
      <c r="D15">
        <v>15400</v>
      </c>
      <c r="E15">
        <v>14760</v>
      </c>
      <c r="F15" s="6">
        <f t="shared" si="0"/>
        <v>93520374.081496328</v>
      </c>
      <c r="G15" s="6">
        <f t="shared" si="1"/>
        <v>90909090.909090906</v>
      </c>
      <c r="H15" s="6">
        <f t="shared" si="2"/>
        <v>94850948.509485096</v>
      </c>
      <c r="I15" s="6">
        <f t="shared" si="3"/>
        <v>13360053.44021376</v>
      </c>
      <c r="J15" s="6">
        <f t="shared" si="4"/>
        <v>12987012.987012986</v>
      </c>
      <c r="K15" s="6">
        <f t="shared" si="5"/>
        <v>13550135.501355013</v>
      </c>
      <c r="L15" s="6">
        <f t="shared" si="12"/>
        <v>87262257.93433027</v>
      </c>
      <c r="M15" s="6">
        <f t="shared" si="7"/>
        <v>12466036.847761467</v>
      </c>
      <c r="N15" s="6"/>
      <c r="O15" s="10">
        <f t="shared" si="8"/>
        <v>93.093471166690776</v>
      </c>
      <c r="P15" s="10">
        <f t="shared" si="9"/>
        <v>13.299067309527254</v>
      </c>
      <c r="Q15" s="10">
        <f t="shared" si="10"/>
        <v>87.262257934330265</v>
      </c>
      <c r="R15" s="10">
        <f t="shared" si="10"/>
        <v>12.466036847761467</v>
      </c>
      <c r="S15" s="6"/>
    </row>
    <row r="16" spans="1:19" x14ac:dyDescent="0.25">
      <c r="A16">
        <v>8</v>
      </c>
      <c r="B16" s="1">
        <f t="shared" si="11"/>
        <v>800000000</v>
      </c>
      <c r="C16">
        <v>14990</v>
      </c>
      <c r="D16">
        <v>15790</v>
      </c>
      <c r="E16">
        <v>15550</v>
      </c>
      <c r="F16" s="6">
        <f t="shared" si="0"/>
        <v>106737825.21681121</v>
      </c>
      <c r="G16" s="6">
        <f t="shared" si="1"/>
        <v>101329955.66814439</v>
      </c>
      <c r="H16" s="6">
        <f t="shared" si="2"/>
        <v>102893890.67524116</v>
      </c>
      <c r="I16" s="6">
        <f t="shared" si="3"/>
        <v>13342228.152101401</v>
      </c>
      <c r="J16" s="6">
        <f t="shared" si="4"/>
        <v>12666244.458518049</v>
      </c>
      <c r="K16" s="6">
        <f t="shared" si="5"/>
        <v>12861736.334405145</v>
      </c>
      <c r="L16" s="6">
        <f t="shared" si="12"/>
        <v>96289388.065467894</v>
      </c>
      <c r="M16" s="6">
        <f t="shared" si="7"/>
        <v>12036173.508183487</v>
      </c>
      <c r="N16" s="6"/>
      <c r="O16" s="10">
        <f t="shared" si="8"/>
        <v>103.65389052006559</v>
      </c>
      <c r="P16" s="10">
        <f t="shared" si="9"/>
        <v>12.956736315008198</v>
      </c>
      <c r="Q16" s="10">
        <f t="shared" si="10"/>
        <v>96.28938806546789</v>
      </c>
      <c r="R16" s="10">
        <f t="shared" si="10"/>
        <v>12.036173508183486</v>
      </c>
      <c r="S16" s="6"/>
    </row>
    <row r="17" spans="1:19" x14ac:dyDescent="0.25">
      <c r="A17">
        <v>9</v>
      </c>
      <c r="B17" s="1">
        <f t="shared" si="11"/>
        <v>900000000</v>
      </c>
      <c r="C17">
        <v>16219.999999999998</v>
      </c>
      <c r="D17">
        <v>16219.999999999998</v>
      </c>
      <c r="E17">
        <v>15810</v>
      </c>
      <c r="F17" s="6">
        <f t="shared" si="0"/>
        <v>110974106.04192355</v>
      </c>
      <c r="G17" s="6">
        <f t="shared" si="1"/>
        <v>110974106.04192355</v>
      </c>
      <c r="H17" s="6">
        <f t="shared" si="2"/>
        <v>113851992.40986718</v>
      </c>
      <c r="I17" s="6">
        <f t="shared" si="3"/>
        <v>12330456.226880394</v>
      </c>
      <c r="J17" s="6">
        <f t="shared" si="4"/>
        <v>12330456.226880394</v>
      </c>
      <c r="K17" s="6">
        <f t="shared" si="5"/>
        <v>12650221.378874131</v>
      </c>
      <c r="L17" s="6">
        <f t="shared" si="12"/>
        <v>105316518.1966055</v>
      </c>
      <c r="M17" s="6">
        <f t="shared" si="7"/>
        <v>11701835.35517839</v>
      </c>
      <c r="N17" s="6"/>
      <c r="O17" s="10">
        <f t="shared" si="8"/>
        <v>111.93340149790477</v>
      </c>
      <c r="P17" s="10">
        <f t="shared" si="9"/>
        <v>12.437044610878306</v>
      </c>
      <c r="Q17" s="10">
        <f t="shared" si="10"/>
        <v>105.3165181966055</v>
      </c>
      <c r="R17" s="10">
        <f t="shared" si="10"/>
        <v>11.701835355178389</v>
      </c>
      <c r="S17" s="6"/>
    </row>
    <row r="18" spans="1:19" x14ac:dyDescent="0.25">
      <c r="A18">
        <v>10</v>
      </c>
      <c r="B18" s="1">
        <f t="shared" si="11"/>
        <v>1000000000</v>
      </c>
      <c r="C18">
        <v>16570</v>
      </c>
      <c r="D18">
        <v>16540</v>
      </c>
      <c r="E18">
        <v>16540</v>
      </c>
      <c r="F18" s="6">
        <f t="shared" si="0"/>
        <v>120700060.35003018</v>
      </c>
      <c r="G18" s="6">
        <f t="shared" si="1"/>
        <v>120918984.28053203</v>
      </c>
      <c r="H18" s="6">
        <f t="shared" si="2"/>
        <v>120918984.28053203</v>
      </c>
      <c r="I18" s="6">
        <f t="shared" si="3"/>
        <v>12070006.035003018</v>
      </c>
      <c r="J18" s="6">
        <f t="shared" si="4"/>
        <v>12091898.428053204</v>
      </c>
      <c r="K18" s="6">
        <f t="shared" si="5"/>
        <v>12091898.428053204</v>
      </c>
      <c r="L18" s="6">
        <f t="shared" si="12"/>
        <v>114343648.32774311</v>
      </c>
      <c r="M18" s="6">
        <f t="shared" si="7"/>
        <v>11434364.832774311</v>
      </c>
      <c r="N18" s="6"/>
      <c r="O18" s="10">
        <f t="shared" si="8"/>
        <v>120.84600963703141</v>
      </c>
      <c r="P18" s="10">
        <f t="shared" si="9"/>
        <v>12.08460096370314</v>
      </c>
      <c r="Q18" s="10">
        <f t="shared" si="10"/>
        <v>114.34364832774311</v>
      </c>
      <c r="R18" s="10">
        <f t="shared" si="10"/>
        <v>11.434364832774312</v>
      </c>
      <c r="S18" s="6"/>
    </row>
    <row r="19" spans="1:19" x14ac:dyDescent="0.25">
      <c r="A19">
        <v>11</v>
      </c>
      <c r="B19" s="1">
        <f t="shared" si="11"/>
        <v>1100000000</v>
      </c>
      <c r="C19">
        <v>16780</v>
      </c>
      <c r="D19">
        <v>16780</v>
      </c>
      <c r="E19">
        <v>16790</v>
      </c>
      <c r="F19" s="6">
        <f t="shared" si="0"/>
        <v>131108462.45530394</v>
      </c>
      <c r="G19" s="6">
        <f t="shared" si="1"/>
        <v>131108462.45530394</v>
      </c>
      <c r="H19" s="6">
        <f t="shared" si="2"/>
        <v>131030375.22334723</v>
      </c>
      <c r="I19" s="6">
        <f t="shared" si="3"/>
        <v>11918951.132300358</v>
      </c>
      <c r="J19" s="6">
        <f t="shared" si="4"/>
        <v>11918951.132300358</v>
      </c>
      <c r="K19" s="6">
        <f t="shared" si="5"/>
        <v>11911852.293031566</v>
      </c>
      <c r="L19" s="6">
        <f t="shared" si="12"/>
        <v>123370778.45888072</v>
      </c>
      <c r="M19" s="6">
        <f t="shared" si="7"/>
        <v>11215525.314443702</v>
      </c>
      <c r="N19" s="6"/>
      <c r="O19" s="10">
        <f t="shared" si="8"/>
        <v>131.08243337798504</v>
      </c>
      <c r="P19" s="10">
        <f t="shared" si="9"/>
        <v>11.916584852544094</v>
      </c>
      <c r="Q19" s="10">
        <f t="shared" si="10"/>
        <v>123.37077845888072</v>
      </c>
      <c r="R19" s="10">
        <f t="shared" si="10"/>
        <v>11.215525314443703</v>
      </c>
      <c r="S19" s="6"/>
    </row>
    <row r="20" spans="1:19" x14ac:dyDescent="0.25">
      <c r="A20">
        <v>12</v>
      </c>
      <c r="B20" s="1">
        <f t="shared" si="11"/>
        <v>1200000000</v>
      </c>
      <c r="C20">
        <v>17020</v>
      </c>
      <c r="D20">
        <v>17020</v>
      </c>
      <c r="E20">
        <v>17050</v>
      </c>
      <c r="F20" s="6">
        <f t="shared" si="0"/>
        <v>141010575.79318449</v>
      </c>
      <c r="G20" s="6">
        <f t="shared" si="1"/>
        <v>141010575.79318449</v>
      </c>
      <c r="H20" s="6">
        <f t="shared" si="2"/>
        <v>140762463.34310851</v>
      </c>
      <c r="I20" s="6">
        <f t="shared" si="3"/>
        <v>11750881.316098707</v>
      </c>
      <c r="J20" s="6">
        <f t="shared" si="4"/>
        <v>11750881.316098707</v>
      </c>
      <c r="K20" s="6">
        <f t="shared" si="5"/>
        <v>11730205.278592376</v>
      </c>
      <c r="L20" s="6">
        <f t="shared" si="12"/>
        <v>132397908.59001836</v>
      </c>
      <c r="M20" s="6">
        <f t="shared" si="7"/>
        <v>11033159.049168197</v>
      </c>
      <c r="N20" s="6"/>
      <c r="O20" s="10">
        <f t="shared" si="8"/>
        <v>140.92787164315916</v>
      </c>
      <c r="P20" s="10">
        <f t="shared" si="9"/>
        <v>11.743989303596596</v>
      </c>
      <c r="Q20" s="10">
        <f t="shared" si="10"/>
        <v>132.39790859001837</v>
      </c>
      <c r="R20" s="10">
        <f t="shared" si="10"/>
        <v>11.033159049168198</v>
      </c>
      <c r="S20" s="6"/>
    </row>
    <row r="21" spans="1:19" x14ac:dyDescent="0.25">
      <c r="A21">
        <v>13</v>
      </c>
      <c r="B21" s="1">
        <f t="shared" si="11"/>
        <v>1300000000</v>
      </c>
      <c r="C21">
        <v>17820</v>
      </c>
      <c r="D21">
        <v>17920</v>
      </c>
      <c r="E21">
        <v>17790</v>
      </c>
      <c r="F21" s="6">
        <f t="shared" si="0"/>
        <v>145903479.23681256</v>
      </c>
      <c r="G21" s="6">
        <f t="shared" si="1"/>
        <v>145089285.7142857</v>
      </c>
      <c r="H21" s="6">
        <f t="shared" si="2"/>
        <v>146149522.2034851</v>
      </c>
      <c r="I21" s="6">
        <f t="shared" si="3"/>
        <v>11223344.556677889</v>
      </c>
      <c r="J21" s="6">
        <f t="shared" si="4"/>
        <v>11160714.285714285</v>
      </c>
      <c r="K21" s="6">
        <f t="shared" si="5"/>
        <v>11242270.938729623</v>
      </c>
      <c r="L21" s="6">
        <f>$L$9*(4+8*60%+(A21-12)*30%)</f>
        <v>136911473.6555872</v>
      </c>
      <c r="M21" s="6">
        <f t="shared" si="7"/>
        <v>10531651.819660554</v>
      </c>
      <c r="N21" s="6"/>
      <c r="O21" s="10">
        <f t="shared" si="8"/>
        <v>145.71409571819444</v>
      </c>
      <c r="P21" s="10">
        <f t="shared" si="9"/>
        <v>11.208776593707265</v>
      </c>
      <c r="Q21" s="10">
        <f t="shared" si="10"/>
        <v>136.9114736555872</v>
      </c>
      <c r="R21" s="10">
        <f t="shared" si="10"/>
        <v>10.531651819660553</v>
      </c>
      <c r="S21" s="6"/>
    </row>
    <row r="22" spans="1:19" x14ac:dyDescent="0.25">
      <c r="A22">
        <v>14</v>
      </c>
      <c r="B22" s="1">
        <f t="shared" si="11"/>
        <v>1400000000</v>
      </c>
      <c r="C22">
        <v>18500</v>
      </c>
      <c r="D22">
        <v>18500</v>
      </c>
      <c r="E22">
        <v>18490</v>
      </c>
      <c r="F22" s="6">
        <f t="shared" si="0"/>
        <v>151351351.35135135</v>
      </c>
      <c r="G22" s="6">
        <f t="shared" si="1"/>
        <v>151351351.35135135</v>
      </c>
      <c r="H22" s="6">
        <f t="shared" si="2"/>
        <v>151433207.13899404</v>
      </c>
      <c r="I22" s="6">
        <f t="shared" si="3"/>
        <v>10810810.81081081</v>
      </c>
      <c r="J22" s="6">
        <f t="shared" si="4"/>
        <v>10810810.81081081</v>
      </c>
      <c r="K22" s="6">
        <f t="shared" si="5"/>
        <v>10816657.652785288</v>
      </c>
      <c r="L22" s="6">
        <f>$L$9*(4+8*60%+(A22-12)*30%)</f>
        <v>141425038.72115597</v>
      </c>
      <c r="M22" s="6">
        <f t="shared" si="7"/>
        <v>10101788.48008257</v>
      </c>
      <c r="N22" s="6"/>
      <c r="O22" s="10">
        <f t="shared" si="8"/>
        <v>151.37863661389889</v>
      </c>
      <c r="P22" s="10">
        <f t="shared" si="9"/>
        <v>10.812759758135638</v>
      </c>
      <c r="Q22" s="10">
        <f t="shared" si="10"/>
        <v>141.42503872115597</v>
      </c>
      <c r="R22" s="10">
        <f t="shared" si="10"/>
        <v>10.10178848008257</v>
      </c>
      <c r="S22" s="6"/>
    </row>
    <row r="23" spans="1:19" x14ac:dyDescent="0.25">
      <c r="A23">
        <v>15</v>
      </c>
      <c r="B23" s="1">
        <f t="shared" si="11"/>
        <v>1500000000</v>
      </c>
      <c r="C23">
        <v>19820</v>
      </c>
      <c r="D23">
        <v>19780</v>
      </c>
      <c r="E23">
        <v>19830</v>
      </c>
      <c r="F23" s="6">
        <f t="shared" si="0"/>
        <v>151362260.34308779</v>
      </c>
      <c r="G23" s="6">
        <f t="shared" si="1"/>
        <v>151668351.87057632</v>
      </c>
      <c r="H23" s="6">
        <f t="shared" si="2"/>
        <v>151285930.40847203</v>
      </c>
      <c r="I23" s="6">
        <f t="shared" si="3"/>
        <v>10090817.356205853</v>
      </c>
      <c r="J23" s="6">
        <f t="shared" si="4"/>
        <v>10111223.458038421</v>
      </c>
      <c r="K23" s="6">
        <f t="shared" si="5"/>
        <v>10085728.693898136</v>
      </c>
      <c r="L23" s="6">
        <f>$L$22</f>
        <v>141425038.72115597</v>
      </c>
      <c r="M23" s="6">
        <f t="shared" si="7"/>
        <v>9428335.9147437308</v>
      </c>
      <c r="N23" s="6"/>
      <c r="O23" s="10">
        <f t="shared" si="8"/>
        <v>151.43884754071203</v>
      </c>
      <c r="P23" s="10">
        <f t="shared" si="9"/>
        <v>10.095923169380805</v>
      </c>
      <c r="Q23" s="10">
        <f t="shared" si="10"/>
        <v>141.42503872115597</v>
      </c>
      <c r="R23" s="10">
        <f t="shared" si="10"/>
        <v>9.4283359147437302</v>
      </c>
      <c r="S23" s="6"/>
    </row>
    <row r="24" spans="1:19" x14ac:dyDescent="0.25">
      <c r="A24">
        <v>16</v>
      </c>
      <c r="B24" s="1">
        <f t="shared" si="11"/>
        <v>1600000000</v>
      </c>
      <c r="C24">
        <v>21140</v>
      </c>
      <c r="D24">
        <v>21150</v>
      </c>
      <c r="E24">
        <v>21190</v>
      </c>
      <c r="F24" s="6">
        <f t="shared" si="0"/>
        <v>151371807.00094607</v>
      </c>
      <c r="G24" s="6">
        <f t="shared" si="1"/>
        <v>151300236.4066194</v>
      </c>
      <c r="H24" s="6">
        <f t="shared" si="2"/>
        <v>151014629.54223692</v>
      </c>
      <c r="I24" s="6">
        <f t="shared" si="3"/>
        <v>9460737.9375591297</v>
      </c>
      <c r="J24" s="6">
        <f t="shared" si="4"/>
        <v>9456264.7754137125</v>
      </c>
      <c r="K24" s="6">
        <f t="shared" si="5"/>
        <v>9438414.3463898078</v>
      </c>
      <c r="L24" s="6">
        <f t="shared" ref="L24:L28" si="13">$L$22</f>
        <v>141425038.72115597</v>
      </c>
      <c r="M24" s="6">
        <f t="shared" si="7"/>
        <v>8839064.9200722482</v>
      </c>
      <c r="N24" s="6"/>
      <c r="O24" s="10">
        <f t="shared" si="8"/>
        <v>151.22889098326746</v>
      </c>
      <c r="P24" s="10">
        <f t="shared" si="9"/>
        <v>9.4518056864542164</v>
      </c>
      <c r="Q24" s="10">
        <f t="shared" si="10"/>
        <v>141.42503872115597</v>
      </c>
      <c r="R24" s="10">
        <f t="shared" si="10"/>
        <v>8.8390649200722482</v>
      </c>
      <c r="S24" s="6"/>
    </row>
    <row r="25" spans="1:19" x14ac:dyDescent="0.25">
      <c r="A25">
        <v>17</v>
      </c>
      <c r="B25" s="1">
        <f t="shared" si="11"/>
        <v>1700000000</v>
      </c>
      <c r="C25">
        <v>22650</v>
      </c>
      <c r="D25">
        <v>22560</v>
      </c>
      <c r="E25">
        <v>22480</v>
      </c>
      <c r="F25" s="6">
        <f t="shared" si="0"/>
        <v>150110375.27593818</v>
      </c>
      <c r="G25" s="6">
        <f t="shared" si="1"/>
        <v>150709219.85815603</v>
      </c>
      <c r="H25" s="6">
        <f t="shared" si="2"/>
        <v>151245551.60142347</v>
      </c>
      <c r="I25" s="6">
        <f t="shared" si="3"/>
        <v>8830022.0750551876</v>
      </c>
      <c r="J25" s="6">
        <f t="shared" si="4"/>
        <v>8865248.2269503549</v>
      </c>
      <c r="K25" s="6">
        <f t="shared" si="5"/>
        <v>8896797.15302491</v>
      </c>
      <c r="L25" s="6">
        <f t="shared" si="13"/>
        <v>141425038.72115597</v>
      </c>
      <c r="M25" s="6">
        <f t="shared" si="7"/>
        <v>8319119.9247738803</v>
      </c>
      <c r="N25" s="6"/>
      <c r="O25" s="10">
        <f t="shared" si="8"/>
        <v>150.68838224517259</v>
      </c>
      <c r="P25" s="10">
        <f t="shared" si="9"/>
        <v>8.8640224850101532</v>
      </c>
      <c r="Q25" s="10">
        <f t="shared" si="10"/>
        <v>141.42503872115597</v>
      </c>
      <c r="R25" s="10">
        <f t="shared" si="10"/>
        <v>8.3191199247738794</v>
      </c>
      <c r="S25" s="6"/>
    </row>
    <row r="26" spans="1:19" x14ac:dyDescent="0.25">
      <c r="A26">
        <v>18</v>
      </c>
      <c r="B26" s="1">
        <f t="shared" si="11"/>
        <v>1800000000</v>
      </c>
      <c r="C26">
        <v>23730</v>
      </c>
      <c r="D26">
        <v>23750</v>
      </c>
      <c r="E26">
        <v>23710</v>
      </c>
      <c r="F26" s="6">
        <f t="shared" si="0"/>
        <v>151706700.37926674</v>
      </c>
      <c r="G26" s="6">
        <f t="shared" si="1"/>
        <v>151578947.36842105</v>
      </c>
      <c r="H26" s="6">
        <f t="shared" si="2"/>
        <v>151834668.91606918</v>
      </c>
      <c r="I26" s="6">
        <f t="shared" si="3"/>
        <v>8428150.0210703742</v>
      </c>
      <c r="J26" s="6">
        <f t="shared" si="4"/>
        <v>8421052.6315789465</v>
      </c>
      <c r="K26" s="6">
        <f t="shared" si="5"/>
        <v>8435259.3842260651</v>
      </c>
      <c r="L26" s="6">
        <f t="shared" si="13"/>
        <v>141425038.72115597</v>
      </c>
      <c r="M26" s="6">
        <f t="shared" si="7"/>
        <v>7856946.5956197763</v>
      </c>
      <c r="N26" s="6"/>
      <c r="O26" s="10">
        <f t="shared" si="8"/>
        <v>151.70677222125232</v>
      </c>
      <c r="P26" s="10">
        <f t="shared" si="9"/>
        <v>8.4281540122917953</v>
      </c>
      <c r="Q26" s="10">
        <f t="shared" si="10"/>
        <v>141.42503872115597</v>
      </c>
      <c r="R26" s="10">
        <f t="shared" si="10"/>
        <v>7.8569465956197764</v>
      </c>
      <c r="S26" s="6"/>
    </row>
    <row r="27" spans="1:19" x14ac:dyDescent="0.25">
      <c r="A27">
        <v>19</v>
      </c>
      <c r="B27" s="1">
        <f t="shared" si="11"/>
        <v>1900000000</v>
      </c>
      <c r="C27">
        <v>25170</v>
      </c>
      <c r="D27">
        <v>25510</v>
      </c>
      <c r="E27">
        <v>25080</v>
      </c>
      <c r="F27" s="6">
        <f t="shared" si="0"/>
        <v>150973381.00913787</v>
      </c>
      <c r="G27" s="6">
        <f t="shared" si="1"/>
        <v>148961191.68953353</v>
      </c>
      <c r="H27" s="6">
        <f t="shared" si="2"/>
        <v>151515151.51515153</v>
      </c>
      <c r="I27" s="6">
        <f t="shared" si="3"/>
        <v>7945967.4215335725</v>
      </c>
      <c r="J27" s="6">
        <f t="shared" si="4"/>
        <v>7840062.7205017647</v>
      </c>
      <c r="K27" s="6">
        <f t="shared" si="5"/>
        <v>7974481.6586921858</v>
      </c>
      <c r="L27" s="6">
        <f t="shared" si="13"/>
        <v>141425038.72115597</v>
      </c>
      <c r="M27" s="6">
        <f t="shared" si="7"/>
        <v>7443423.0905871568</v>
      </c>
      <c r="N27" s="6"/>
      <c r="O27" s="10">
        <f t="shared" si="8"/>
        <v>150.48324140460764</v>
      </c>
      <c r="P27" s="10">
        <f t="shared" si="9"/>
        <v>7.9201706002425079</v>
      </c>
      <c r="Q27" s="10">
        <f t="shared" si="10"/>
        <v>141.42503872115597</v>
      </c>
      <c r="R27" s="10">
        <f t="shared" si="10"/>
        <v>7.4434230905871566</v>
      </c>
      <c r="S27" s="6"/>
    </row>
    <row r="28" spans="1:19" x14ac:dyDescent="0.25">
      <c r="A28">
        <v>20</v>
      </c>
      <c r="B28" s="1">
        <f t="shared" si="11"/>
        <v>2000000000</v>
      </c>
      <c r="C28">
        <v>26530</v>
      </c>
      <c r="D28">
        <v>26390</v>
      </c>
      <c r="E28">
        <v>26410</v>
      </c>
      <c r="F28" s="6">
        <f t="shared" si="0"/>
        <v>150772710.13946477</v>
      </c>
      <c r="G28" s="6">
        <f t="shared" si="1"/>
        <v>151572565.36566883</v>
      </c>
      <c r="H28" s="6">
        <f t="shared" si="2"/>
        <v>151457781.14350626</v>
      </c>
      <c r="I28" s="6">
        <f t="shared" si="3"/>
        <v>7538635.5069732387</v>
      </c>
      <c r="J28" s="6">
        <f t="shared" si="4"/>
        <v>7578628.2682834417</v>
      </c>
      <c r="K28" s="6">
        <f t="shared" si="5"/>
        <v>7572889.0571753131</v>
      </c>
      <c r="L28" s="6">
        <f t="shared" si="13"/>
        <v>141425038.72115597</v>
      </c>
      <c r="M28" s="6">
        <f t="shared" si="7"/>
        <v>7071251.9360577986</v>
      </c>
      <c r="N28" s="6"/>
      <c r="O28" s="10">
        <f t="shared" si="8"/>
        <v>151.26768554954663</v>
      </c>
      <c r="P28" s="10">
        <f t="shared" si="9"/>
        <v>7.5633842774773319</v>
      </c>
      <c r="Q28" s="10">
        <f t="shared" si="10"/>
        <v>141.42503872115597</v>
      </c>
      <c r="R28" s="10">
        <f t="shared" si="10"/>
        <v>7.0712519360577986</v>
      </c>
      <c r="S28" s="6"/>
    </row>
    <row r="29" spans="1:19" x14ac:dyDescent="0.25">
      <c r="B29" s="1"/>
      <c r="C29" s="1"/>
      <c r="D29" s="1"/>
      <c r="E29" s="1"/>
      <c r="F29" s="6"/>
      <c r="G29" s="6"/>
      <c r="H29" s="6"/>
      <c r="I29" s="6"/>
      <c r="J29" s="6"/>
      <c r="K29" s="6"/>
      <c r="L29" s="6"/>
      <c r="M29" s="6"/>
      <c r="N29" s="6"/>
      <c r="O29" s="10"/>
      <c r="P29" s="10"/>
      <c r="Q29" s="10"/>
      <c r="R29" s="10"/>
      <c r="S29" s="6"/>
    </row>
    <row r="30" spans="1:19" x14ac:dyDescent="0.25">
      <c r="B30" s="1"/>
      <c r="C30" s="1"/>
      <c r="D30" s="13"/>
      <c r="E30" s="13"/>
      <c r="F30" s="6"/>
      <c r="G30" s="6"/>
      <c r="H30" s="6"/>
      <c r="I30" s="6"/>
      <c r="J30" s="6"/>
      <c r="K30" s="6"/>
      <c r="L30" s="6"/>
      <c r="M30" s="6"/>
      <c r="N30" s="6"/>
      <c r="O30" s="10"/>
      <c r="P30" s="10"/>
      <c r="Q30" s="10"/>
      <c r="R30" s="10"/>
      <c r="S30" s="6"/>
    </row>
    <row r="31" spans="1:19" x14ac:dyDescent="0.25">
      <c r="B31" s="1"/>
      <c r="C31" s="1"/>
      <c r="D31" s="1"/>
      <c r="E31" s="1"/>
      <c r="F31" s="6"/>
      <c r="G31" s="6"/>
      <c r="H31" s="6"/>
      <c r="I31" s="6"/>
      <c r="J31" s="6"/>
      <c r="K31" s="6"/>
      <c r="L31" s="6"/>
      <c r="M31" s="6"/>
      <c r="N31" s="6"/>
      <c r="O31" s="10"/>
      <c r="P31" s="10"/>
      <c r="Q31" s="10"/>
      <c r="R31" s="10"/>
      <c r="S31" s="6"/>
    </row>
    <row r="32" spans="1:19" x14ac:dyDescent="0.25">
      <c r="B32" s="1"/>
      <c r="C32" s="1"/>
      <c r="D32" s="1"/>
      <c r="E32" s="1"/>
      <c r="F32" s="6"/>
      <c r="G32" s="6"/>
      <c r="H32" s="6"/>
      <c r="I32" s="6"/>
      <c r="J32" s="6"/>
      <c r="K32" s="6"/>
      <c r="L32" s="6"/>
      <c r="M32" s="6"/>
      <c r="N32" s="6"/>
      <c r="O32" s="10"/>
      <c r="P32" s="10"/>
      <c r="Q32" s="10"/>
      <c r="R32" s="10"/>
      <c r="S32" s="6"/>
    </row>
    <row r="33" spans="2:19" x14ac:dyDescent="0.25"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10"/>
      <c r="P33" s="10"/>
      <c r="Q33" s="10"/>
      <c r="R33" s="10"/>
      <c r="S33" s="6"/>
    </row>
    <row r="34" spans="2:19" x14ac:dyDescent="0.25"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10"/>
      <c r="P34" s="10"/>
      <c r="Q34" s="10"/>
      <c r="R34" s="10"/>
      <c r="S34" s="6"/>
    </row>
    <row r="35" spans="2:19" x14ac:dyDescent="0.25"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10"/>
      <c r="P35" s="10"/>
      <c r="Q35" s="10"/>
      <c r="R35" s="10"/>
      <c r="S35" s="6"/>
    </row>
    <row r="36" spans="2:19" x14ac:dyDescent="0.25"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10"/>
      <c r="P36" s="10"/>
      <c r="Q36" s="10"/>
      <c r="R36" s="10"/>
      <c r="S36" s="6"/>
    </row>
    <row r="37" spans="2:19" x14ac:dyDescent="0.25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10"/>
      <c r="P37" s="10"/>
      <c r="Q37" s="10"/>
      <c r="R37" s="10"/>
      <c r="S37" s="6"/>
    </row>
    <row r="38" spans="2:19" x14ac:dyDescent="0.25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10"/>
      <c r="P38" s="10"/>
      <c r="Q38" s="10"/>
      <c r="R38" s="10"/>
      <c r="S38" s="6"/>
    </row>
    <row r="39" spans="2:19" x14ac:dyDescent="0.25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10"/>
      <c r="P39" s="10"/>
      <c r="Q39" s="10"/>
      <c r="R39" s="10"/>
      <c r="S39" s="6"/>
    </row>
    <row r="40" spans="2:19" x14ac:dyDescent="0.25"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10"/>
      <c r="P40" s="10"/>
      <c r="Q40" s="10"/>
      <c r="R40" s="10"/>
      <c r="S40" s="6"/>
    </row>
    <row r="41" spans="2:19" x14ac:dyDescent="0.25"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10"/>
      <c r="P41" s="10"/>
      <c r="Q41" s="10"/>
      <c r="R41" s="10"/>
      <c r="S41" s="6"/>
    </row>
    <row r="42" spans="2:19" x14ac:dyDescent="0.25"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10"/>
      <c r="P42" s="10"/>
      <c r="Q42" s="10"/>
      <c r="R42" s="10"/>
      <c r="S42" s="6"/>
    </row>
    <row r="43" spans="2:19" x14ac:dyDescent="0.25"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10"/>
      <c r="P43" s="10"/>
      <c r="Q43" s="10"/>
      <c r="R43" s="10"/>
      <c r="S43" s="6"/>
    </row>
    <row r="44" spans="2:19" x14ac:dyDescent="0.25"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10"/>
      <c r="P44" s="10"/>
      <c r="Q44" s="10"/>
      <c r="R44" s="10"/>
      <c r="S44" s="6"/>
    </row>
    <row r="45" spans="2:19" x14ac:dyDescent="0.25"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10"/>
      <c r="P45" s="10"/>
      <c r="Q45" s="10"/>
      <c r="R45" s="10"/>
      <c r="S45" s="6"/>
    </row>
    <row r="46" spans="2:19" x14ac:dyDescent="0.25"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10"/>
      <c r="P46" s="10"/>
      <c r="Q46" s="10"/>
      <c r="R46" s="10"/>
      <c r="S46" s="6"/>
    </row>
    <row r="47" spans="2:19" x14ac:dyDescent="0.25"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10"/>
      <c r="P47" s="10"/>
      <c r="Q47" s="10"/>
      <c r="R47" s="10"/>
      <c r="S47" s="6"/>
    </row>
    <row r="48" spans="2:19" x14ac:dyDescent="0.25"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10"/>
      <c r="P48" s="10"/>
      <c r="Q48" s="10"/>
      <c r="R48" s="10"/>
      <c r="S48" s="6"/>
    </row>
    <row r="49" spans="2:21" x14ac:dyDescent="0.25"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10"/>
      <c r="P49" s="10"/>
      <c r="Q49" s="10"/>
      <c r="R49" s="10"/>
      <c r="S49" s="6"/>
    </row>
    <row r="50" spans="2:21" x14ac:dyDescent="0.25"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10"/>
      <c r="P50" s="10"/>
      <c r="Q50" s="10"/>
      <c r="R50" s="10"/>
      <c r="S50" s="6"/>
    </row>
    <row r="51" spans="2:21" x14ac:dyDescent="0.25"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10"/>
      <c r="P51" s="10"/>
      <c r="Q51" s="10"/>
      <c r="R51" s="10"/>
      <c r="S51" s="6"/>
    </row>
    <row r="52" spans="2:21" x14ac:dyDescent="0.25"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10"/>
      <c r="P52" s="10"/>
      <c r="Q52" s="10"/>
      <c r="R52" s="10"/>
      <c r="S52" s="6"/>
    </row>
    <row r="53" spans="2:21" x14ac:dyDescent="0.25"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10"/>
      <c r="P53" s="10"/>
      <c r="Q53" s="10"/>
      <c r="R53" s="10"/>
      <c r="S53" s="6"/>
    </row>
    <row r="54" spans="2:21" x14ac:dyDescent="0.25"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10"/>
      <c r="P54" s="10"/>
      <c r="Q54" s="10"/>
      <c r="R54" s="10"/>
      <c r="S54" s="6"/>
    </row>
    <row r="55" spans="2:21" x14ac:dyDescent="0.25"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10"/>
      <c r="P55" s="10"/>
      <c r="Q55" s="10"/>
      <c r="R55" s="10"/>
      <c r="S55" s="6"/>
    </row>
    <row r="56" spans="2:21" x14ac:dyDescent="0.25"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10"/>
      <c r="P56" s="10"/>
      <c r="Q56" s="10"/>
      <c r="R56" s="10"/>
      <c r="S56" s="6"/>
    </row>
    <row r="57" spans="2:21" x14ac:dyDescent="0.25"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10"/>
      <c r="P57" s="10"/>
      <c r="Q57" s="10"/>
      <c r="R57" s="10"/>
      <c r="S57" s="6"/>
    </row>
    <row r="58" spans="2:21" x14ac:dyDescent="0.25"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10"/>
      <c r="P58" s="10"/>
      <c r="Q58" s="10"/>
      <c r="R58" s="10"/>
      <c r="S58" s="6"/>
    </row>
    <row r="59" spans="2:21" x14ac:dyDescent="0.25"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10"/>
      <c r="P59" s="10"/>
      <c r="Q59" s="10"/>
      <c r="R59" s="10"/>
      <c r="S59" s="6"/>
    </row>
    <row r="60" spans="2:21" x14ac:dyDescent="0.25"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10"/>
      <c r="P60" s="10"/>
      <c r="Q60" s="10"/>
      <c r="R60" s="10"/>
      <c r="S60" s="6"/>
      <c r="U60" t="s">
        <v>10</v>
      </c>
    </row>
    <row r="61" spans="2:21" x14ac:dyDescent="0.25"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10"/>
      <c r="P61" s="10"/>
      <c r="Q61" s="10"/>
      <c r="R61" s="10"/>
      <c r="S61" s="6"/>
    </row>
    <row r="62" spans="2:21" x14ac:dyDescent="0.25"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10"/>
      <c r="P62" s="10"/>
      <c r="Q62" s="10"/>
      <c r="R62" s="10"/>
      <c r="S62" s="6"/>
    </row>
    <row r="63" spans="2:21" x14ac:dyDescent="0.25"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10"/>
      <c r="P63" s="10"/>
      <c r="Q63" s="10"/>
      <c r="R63" s="10"/>
      <c r="S63" s="6"/>
    </row>
    <row r="64" spans="2:21" x14ac:dyDescent="0.25"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10"/>
      <c r="P64" s="10"/>
      <c r="Q64" s="10"/>
      <c r="R64" s="10"/>
      <c r="S64" s="6"/>
    </row>
    <row r="65" spans="2:19" x14ac:dyDescent="0.25"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10"/>
      <c r="P65" s="10"/>
      <c r="Q65" s="10"/>
      <c r="R65" s="10"/>
      <c r="S65" s="6"/>
    </row>
    <row r="66" spans="2:19" x14ac:dyDescent="0.25"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10"/>
      <c r="P66" s="10"/>
      <c r="Q66" s="10"/>
      <c r="R66" s="10"/>
      <c r="S66" s="6"/>
    </row>
    <row r="67" spans="2:19" x14ac:dyDescent="0.25"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10"/>
      <c r="P67" s="10"/>
      <c r="Q67" s="10"/>
      <c r="R67" s="10"/>
      <c r="S67" s="6"/>
    </row>
    <row r="68" spans="2:19" x14ac:dyDescent="0.25"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10"/>
      <c r="P68" s="10"/>
      <c r="Q68" s="10"/>
      <c r="R68" s="10"/>
      <c r="S68" s="6"/>
    </row>
    <row r="69" spans="2:19" x14ac:dyDescent="0.25"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10"/>
      <c r="P69" s="10"/>
      <c r="Q69" s="10"/>
      <c r="R69" s="10"/>
      <c r="S69" s="6"/>
    </row>
    <row r="70" spans="2:19" x14ac:dyDescent="0.25"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10"/>
      <c r="P70" s="10"/>
      <c r="Q70" s="10"/>
      <c r="R70" s="10"/>
      <c r="S70" s="6"/>
    </row>
    <row r="71" spans="2:19" x14ac:dyDescent="0.25"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10"/>
      <c r="P71" s="10"/>
      <c r="Q71" s="10"/>
      <c r="R71" s="10"/>
      <c r="S71" s="6"/>
    </row>
    <row r="72" spans="2:19" x14ac:dyDescent="0.25"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10"/>
      <c r="P72" s="10"/>
      <c r="Q72" s="10"/>
      <c r="R72" s="10"/>
      <c r="S72" s="6"/>
    </row>
    <row r="73" spans="2:19" x14ac:dyDescent="0.25"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10"/>
      <c r="P73" s="10"/>
      <c r="Q73" s="10"/>
      <c r="R73" s="10"/>
      <c r="S73" s="6"/>
    </row>
    <row r="74" spans="2:19" x14ac:dyDescent="0.25"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10"/>
      <c r="P74" s="10"/>
      <c r="Q74" s="10"/>
      <c r="R74" s="10"/>
      <c r="S74" s="6"/>
    </row>
    <row r="75" spans="2:19" x14ac:dyDescent="0.25"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10"/>
      <c r="P75" s="10"/>
      <c r="Q75" s="10"/>
      <c r="R75" s="10"/>
      <c r="S75" s="6"/>
    </row>
    <row r="76" spans="2:19" x14ac:dyDescent="0.25"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10"/>
      <c r="P76" s="10"/>
      <c r="Q76" s="10"/>
      <c r="R76" s="10"/>
      <c r="S76" s="6"/>
    </row>
    <row r="77" spans="2:19" x14ac:dyDescent="0.25"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10"/>
      <c r="P77" s="10"/>
      <c r="Q77" s="10"/>
      <c r="R77" s="10"/>
      <c r="S77" s="6"/>
    </row>
    <row r="78" spans="2:19" x14ac:dyDescent="0.25"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10"/>
      <c r="P78" s="10"/>
      <c r="Q78" s="10"/>
      <c r="R78" s="10"/>
      <c r="S78" s="6"/>
    </row>
    <row r="79" spans="2:19" x14ac:dyDescent="0.25"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10"/>
      <c r="P79" s="10"/>
      <c r="Q79" s="10"/>
      <c r="R79" s="10"/>
      <c r="S79" s="6"/>
    </row>
    <row r="80" spans="2:19" x14ac:dyDescent="0.25"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10"/>
      <c r="P80" s="10"/>
      <c r="Q80" s="10"/>
      <c r="R80" s="10"/>
      <c r="S80" s="6"/>
    </row>
    <row r="81" spans="2:19" x14ac:dyDescent="0.25"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10"/>
      <c r="P81" s="10"/>
      <c r="Q81" s="10"/>
      <c r="R81" s="10"/>
      <c r="S81" s="6"/>
    </row>
    <row r="82" spans="2:19" x14ac:dyDescent="0.25"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10"/>
      <c r="P82" s="10"/>
      <c r="Q82" s="10"/>
      <c r="R82" s="10"/>
      <c r="S82" s="6"/>
    </row>
    <row r="83" spans="2:19" x14ac:dyDescent="0.25"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10"/>
      <c r="P83" s="10"/>
      <c r="Q83" s="10"/>
      <c r="R83" s="10"/>
      <c r="S83" s="6"/>
    </row>
    <row r="84" spans="2:19" x14ac:dyDescent="0.25"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10"/>
      <c r="P84" s="10"/>
      <c r="Q84" s="10"/>
      <c r="R84" s="10"/>
      <c r="S84" s="6"/>
    </row>
    <row r="85" spans="2:19" x14ac:dyDescent="0.25"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10"/>
      <c r="P85" s="10"/>
      <c r="Q85" s="10"/>
      <c r="R85" s="10"/>
      <c r="S85" s="6"/>
    </row>
    <row r="86" spans="2:19" x14ac:dyDescent="0.25"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10"/>
      <c r="P86" s="10"/>
      <c r="Q86" s="10"/>
      <c r="R86" s="10"/>
      <c r="S86" s="6"/>
    </row>
    <row r="87" spans="2:19" x14ac:dyDescent="0.25"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10"/>
      <c r="P87" s="10"/>
      <c r="Q87" s="10"/>
      <c r="R87" s="10"/>
      <c r="S87" s="6"/>
    </row>
    <row r="88" spans="2:19" x14ac:dyDescent="0.25"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10"/>
      <c r="P88" s="10"/>
      <c r="Q88" s="10"/>
      <c r="R88" s="10"/>
      <c r="S88" s="6"/>
    </row>
  </sheetData>
  <mergeCells count="9">
    <mergeCell ref="O7:P7"/>
    <mergeCell ref="Q7:R7"/>
    <mergeCell ref="A1:M1"/>
    <mergeCell ref="A2:M2"/>
    <mergeCell ref="A3:M3"/>
    <mergeCell ref="A4:M4"/>
    <mergeCell ref="A7:B7"/>
    <mergeCell ref="C7:K7"/>
    <mergeCell ref="L7:M7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J21-fix-G1</vt:lpstr>
      <vt:lpstr>J21-dyn-G1</vt:lpstr>
      <vt:lpstr>J21-dyn-eps</vt:lpstr>
      <vt:lpstr>J24-fix-G1</vt:lpstr>
      <vt:lpstr>J24-dyn-G1</vt:lpstr>
      <vt:lpstr>J24-dyn-eps</vt:lpstr>
      <vt:lpstr>J25-NUC-fix-G1</vt:lpstr>
      <vt:lpstr>J25-NUC-dyn-G1</vt:lpstr>
      <vt:lpstr>J25-NUC-dyn-eps</vt:lpstr>
      <vt:lpstr>J25-NUC-dyn-GraalNative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Herzog</dc:creator>
  <cp:lastModifiedBy>Alexander Herzog</cp:lastModifiedBy>
  <cp:lastPrinted>2025-08-07T19:04:43Z</cp:lastPrinted>
  <dcterms:created xsi:type="dcterms:W3CDTF">2025-01-29T10:53:03Z</dcterms:created>
  <dcterms:modified xsi:type="dcterms:W3CDTF">2025-10-29T07:15:54Z</dcterms:modified>
</cp:coreProperties>
</file>